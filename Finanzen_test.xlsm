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MyProjects\finances\"/>
    </mc:Choice>
  </mc:AlternateContent>
  <xr:revisionPtr revIDLastSave="0" documentId="13_ncr:1_{8141CCC7-1A14-4445-8A37-69482662BCDD}" xr6:coauthVersionLast="45" xr6:coauthVersionMax="45" xr10:uidLastSave="{00000000-0000-0000-0000-000000000000}"/>
  <bookViews>
    <workbookView xWindow="-108" yWindow="-108" windowWidth="23256" windowHeight="12576" activeTab="2" xr2:uid="{6B6BC241-1335-4657-85B2-2617A7CF0D2C}"/>
  </bookViews>
  <sheets>
    <sheet name="Übersicht" sheetId="7" r:id="rId1"/>
    <sheet name="RAIKA_GIRO" sheetId="9" r:id="rId2"/>
    <sheet name="ING_GIRO" sheetId="14" r:id="rId3"/>
    <sheet name="ING_SPAREN" sheetId="10" r:id="rId4"/>
    <sheet name="DKB_GIRO" sheetId="12" r:id="rId5"/>
    <sheet name="DKB_VISA" sheetId="11" r:id="rId6"/>
    <sheet name="DB" sheetId="1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0" i="14" l="1"/>
  <c r="L60" i="14"/>
  <c r="M60" i="14"/>
  <c r="O60" i="14"/>
  <c r="P60" i="14"/>
  <c r="R60" i="14"/>
  <c r="S60" i="14"/>
  <c r="U60" i="14"/>
  <c r="V60" i="14"/>
  <c r="X60" i="14"/>
  <c r="Y60" i="14"/>
  <c r="AA60" i="14"/>
  <c r="AB60" i="14"/>
  <c r="AD60" i="14"/>
  <c r="AE60" i="14"/>
  <c r="AG60" i="14"/>
  <c r="AH60" i="14"/>
  <c r="AJ60" i="14"/>
  <c r="G109" i="14"/>
  <c r="D109" i="14"/>
  <c r="AH110" i="14" l="1"/>
  <c r="AE110" i="14"/>
  <c r="AB110" i="14"/>
  <c r="Y110" i="14"/>
  <c r="V110" i="14"/>
  <c r="S110" i="14"/>
  <c r="P110" i="14"/>
  <c r="M110" i="14"/>
  <c r="J110" i="14"/>
  <c r="G110" i="14"/>
  <c r="D110" i="14"/>
  <c r="AJ109" i="14"/>
  <c r="L133" i="14" s="1"/>
  <c r="AH109" i="14"/>
  <c r="AG109" i="14"/>
  <c r="L132" i="14" s="1"/>
  <c r="AE109" i="14"/>
  <c r="AD109" i="14"/>
  <c r="L131" i="14" s="1"/>
  <c r="AB109" i="14"/>
  <c r="AA109" i="14"/>
  <c r="L130" i="14" s="1"/>
  <c r="Y109" i="14"/>
  <c r="X109" i="14"/>
  <c r="L129" i="14" s="1"/>
  <c r="V109" i="14"/>
  <c r="U109" i="14"/>
  <c r="L128" i="14" s="1"/>
  <c r="S109" i="14"/>
  <c r="R109" i="14"/>
  <c r="L127" i="14" s="1"/>
  <c r="P109" i="14"/>
  <c r="O109" i="14"/>
  <c r="L126" i="14" s="1"/>
  <c r="M109" i="14"/>
  <c r="L109" i="14"/>
  <c r="L125" i="14" s="1"/>
  <c r="J109" i="14"/>
  <c r="I109" i="14"/>
  <c r="L124" i="14" s="1"/>
  <c r="F109" i="14"/>
  <c r="L123" i="14" s="1"/>
  <c r="C109" i="14"/>
  <c r="L122" i="14" s="1"/>
  <c r="J133" i="14"/>
  <c r="J131" i="14"/>
  <c r="J129" i="14"/>
  <c r="J127" i="14"/>
  <c r="J125" i="14"/>
  <c r="I60" i="14"/>
  <c r="G60" i="14"/>
  <c r="F60" i="14"/>
  <c r="J123" i="14" s="1"/>
  <c r="D60" i="14"/>
  <c r="C60" i="14"/>
  <c r="I110" i="14" l="1"/>
  <c r="U110" i="14"/>
  <c r="AG110" i="14"/>
  <c r="M125" i="14"/>
  <c r="M133" i="14"/>
  <c r="C110" i="14"/>
  <c r="O110" i="14"/>
  <c r="AA110" i="14"/>
  <c r="L110" i="14"/>
  <c r="AJ110" i="14"/>
  <c r="M129" i="14"/>
  <c r="X110" i="14"/>
  <c r="M127" i="14"/>
  <c r="M131" i="14"/>
  <c r="M123" i="14"/>
  <c r="J122" i="14"/>
  <c r="M122" i="14" s="1"/>
  <c r="J124" i="14"/>
  <c r="M124" i="14" s="1"/>
  <c r="J126" i="14"/>
  <c r="M126" i="14" s="1"/>
  <c r="J128" i="14"/>
  <c r="M128" i="14" s="1"/>
  <c r="J130" i="14"/>
  <c r="M130" i="14" s="1"/>
  <c r="J132" i="14"/>
  <c r="M132" i="14" s="1"/>
  <c r="F110" i="14"/>
  <c r="R110" i="14"/>
  <c r="AD110" i="14"/>
  <c r="H144" i="11"/>
  <c r="H142" i="11"/>
  <c r="H140" i="11"/>
  <c r="H138" i="11"/>
  <c r="H136" i="11"/>
  <c r="W121" i="11"/>
  <c r="U121" i="11"/>
  <c r="S121" i="11"/>
  <c r="Q121" i="11"/>
  <c r="O121" i="11"/>
  <c r="M121" i="11"/>
  <c r="K121" i="11"/>
  <c r="I121" i="11"/>
  <c r="G121" i="11"/>
  <c r="E121" i="11"/>
  <c r="C121" i="11"/>
  <c r="X120" i="11"/>
  <c r="W120" i="11"/>
  <c r="V120" i="11"/>
  <c r="V121" i="11" s="1"/>
  <c r="U120" i="11"/>
  <c r="T120" i="11"/>
  <c r="S120" i="11"/>
  <c r="R120" i="11"/>
  <c r="H141" i="11" s="1"/>
  <c r="Q120" i="11"/>
  <c r="P120" i="11"/>
  <c r="O120" i="11"/>
  <c r="N120" i="11"/>
  <c r="N121" i="11" s="1"/>
  <c r="M120" i="11"/>
  <c r="L120" i="11"/>
  <c r="K120" i="11"/>
  <c r="J120" i="11"/>
  <c r="H137" i="11" s="1"/>
  <c r="I120" i="11"/>
  <c r="H120" i="11"/>
  <c r="G120" i="11"/>
  <c r="F120" i="11"/>
  <c r="F121" i="11" s="1"/>
  <c r="D120" i="11"/>
  <c r="H134" i="11" s="1"/>
  <c r="C120" i="11"/>
  <c r="B120" i="11"/>
  <c r="H133" i="11" s="1"/>
  <c r="X60" i="11"/>
  <c r="G144" i="11" s="1"/>
  <c r="I144" i="11" s="1"/>
  <c r="W60" i="11"/>
  <c r="V60" i="11"/>
  <c r="G143" i="11" s="1"/>
  <c r="U60" i="11"/>
  <c r="T60" i="11"/>
  <c r="G142" i="11" s="1"/>
  <c r="I142" i="11" s="1"/>
  <c r="S60" i="11"/>
  <c r="R60" i="11"/>
  <c r="R121" i="11" s="1"/>
  <c r="Q60" i="11"/>
  <c r="P60" i="11"/>
  <c r="G140" i="11" s="1"/>
  <c r="I140" i="11" s="1"/>
  <c r="O60" i="11"/>
  <c r="N60" i="11"/>
  <c r="G139" i="11" s="1"/>
  <c r="M60" i="11"/>
  <c r="L60" i="11"/>
  <c r="G138" i="11" s="1"/>
  <c r="I138" i="11" s="1"/>
  <c r="K60" i="11"/>
  <c r="J60" i="11"/>
  <c r="J121" i="11" s="1"/>
  <c r="I60" i="11"/>
  <c r="H60" i="11"/>
  <c r="G136" i="11" s="1"/>
  <c r="I136" i="11" s="1"/>
  <c r="G60" i="11"/>
  <c r="F60" i="11"/>
  <c r="G135" i="11" s="1"/>
  <c r="E60" i="11"/>
  <c r="D60" i="11"/>
  <c r="G134" i="11" s="1"/>
  <c r="C60" i="11"/>
  <c r="B60" i="11"/>
  <c r="B121" i="11" s="1"/>
  <c r="H144" i="12"/>
  <c r="H142" i="12"/>
  <c r="I142" i="12" s="1"/>
  <c r="H138" i="12"/>
  <c r="I138" i="12" s="1"/>
  <c r="H136" i="12"/>
  <c r="X121" i="12"/>
  <c r="W121" i="12"/>
  <c r="V121" i="12"/>
  <c r="U121" i="12"/>
  <c r="S121" i="12"/>
  <c r="Q121" i="12"/>
  <c r="O121" i="12"/>
  <c r="N121" i="12"/>
  <c r="M121" i="12"/>
  <c r="K121" i="12"/>
  <c r="I121" i="12"/>
  <c r="H121" i="12"/>
  <c r="G121" i="12"/>
  <c r="F121" i="12"/>
  <c r="E121" i="12"/>
  <c r="C121" i="12"/>
  <c r="X120" i="12"/>
  <c r="W120" i="12"/>
  <c r="V120" i="12"/>
  <c r="H143" i="12" s="1"/>
  <c r="U120" i="12"/>
  <c r="T120" i="12"/>
  <c r="S120" i="12"/>
  <c r="R120" i="12"/>
  <c r="H141" i="12" s="1"/>
  <c r="Q120" i="12"/>
  <c r="P120" i="12"/>
  <c r="H140" i="12" s="1"/>
  <c r="O120" i="12"/>
  <c r="N120" i="12"/>
  <c r="H139" i="12" s="1"/>
  <c r="M120" i="12"/>
  <c r="L120" i="12"/>
  <c r="K120" i="12"/>
  <c r="J120" i="12"/>
  <c r="H137" i="12" s="1"/>
  <c r="I120" i="12"/>
  <c r="H120" i="12"/>
  <c r="G120" i="12"/>
  <c r="F120" i="12"/>
  <c r="H135" i="12" s="1"/>
  <c r="D120" i="12"/>
  <c r="H134" i="12" s="1"/>
  <c r="I134" i="12" s="1"/>
  <c r="C120" i="12"/>
  <c r="B120" i="12"/>
  <c r="H133" i="12" s="1"/>
  <c r="X60" i="12"/>
  <c r="G144" i="12" s="1"/>
  <c r="W60" i="12"/>
  <c r="V60" i="12"/>
  <c r="G143" i="12" s="1"/>
  <c r="U60" i="12"/>
  <c r="T60" i="12"/>
  <c r="G142" i="12" s="1"/>
  <c r="S60" i="12"/>
  <c r="R60" i="12"/>
  <c r="R121" i="12" s="1"/>
  <c r="Q60" i="12"/>
  <c r="P60" i="12"/>
  <c r="G140" i="12" s="1"/>
  <c r="O60" i="12"/>
  <c r="N60" i="12"/>
  <c r="G139" i="12" s="1"/>
  <c r="M60" i="12"/>
  <c r="L60" i="12"/>
  <c r="G138" i="12" s="1"/>
  <c r="K60" i="12"/>
  <c r="J60" i="12"/>
  <c r="J121" i="12" s="1"/>
  <c r="I60" i="12"/>
  <c r="H60" i="12"/>
  <c r="G136" i="12" s="1"/>
  <c r="G60" i="12"/>
  <c r="F60" i="12"/>
  <c r="G135" i="12" s="1"/>
  <c r="E60" i="12"/>
  <c r="D60" i="12"/>
  <c r="G134" i="12" s="1"/>
  <c r="C60" i="12"/>
  <c r="B60" i="12"/>
  <c r="B121" i="12" s="1"/>
  <c r="H144" i="10"/>
  <c r="H142" i="10"/>
  <c r="H138" i="10"/>
  <c r="H136" i="10"/>
  <c r="X121" i="10"/>
  <c r="W121" i="10"/>
  <c r="V121" i="10"/>
  <c r="U121" i="10"/>
  <c r="T121" i="10"/>
  <c r="S121" i="10"/>
  <c r="Q121" i="10"/>
  <c r="O121" i="10"/>
  <c r="N121" i="10"/>
  <c r="M121" i="10"/>
  <c r="L121" i="10"/>
  <c r="K121" i="10"/>
  <c r="I121" i="10"/>
  <c r="G121" i="10"/>
  <c r="F121" i="10"/>
  <c r="E121" i="10"/>
  <c r="D121" i="10"/>
  <c r="C121" i="10"/>
  <c r="X120" i="10"/>
  <c r="W120" i="10"/>
  <c r="V120" i="10"/>
  <c r="H143" i="10" s="1"/>
  <c r="I143" i="10" s="1"/>
  <c r="U120" i="10"/>
  <c r="T120" i="10"/>
  <c r="S120" i="10"/>
  <c r="R120" i="10"/>
  <c r="H141" i="10" s="1"/>
  <c r="Q120" i="10"/>
  <c r="P120" i="10"/>
  <c r="H140" i="10" s="1"/>
  <c r="O120" i="10"/>
  <c r="N120" i="10"/>
  <c r="H139" i="10" s="1"/>
  <c r="I139" i="10" s="1"/>
  <c r="M120" i="10"/>
  <c r="L120" i="10"/>
  <c r="K120" i="10"/>
  <c r="J120" i="10"/>
  <c r="H137" i="10" s="1"/>
  <c r="I120" i="10"/>
  <c r="H120" i="10"/>
  <c r="H121" i="10" s="1"/>
  <c r="G120" i="10"/>
  <c r="F120" i="10"/>
  <c r="H135" i="10" s="1"/>
  <c r="I135" i="10" s="1"/>
  <c r="D120" i="10"/>
  <c r="H134" i="10" s="1"/>
  <c r="I134" i="10" s="1"/>
  <c r="C120" i="10"/>
  <c r="B120" i="10"/>
  <c r="H133" i="10" s="1"/>
  <c r="X60" i="10"/>
  <c r="G144" i="10" s="1"/>
  <c r="W60" i="10"/>
  <c r="V60" i="10"/>
  <c r="G143" i="10" s="1"/>
  <c r="U60" i="10"/>
  <c r="T60" i="10"/>
  <c r="G142" i="10" s="1"/>
  <c r="S60" i="10"/>
  <c r="R60" i="10"/>
  <c r="R121" i="10" s="1"/>
  <c r="Q60" i="10"/>
  <c r="P60" i="10"/>
  <c r="G140" i="10" s="1"/>
  <c r="O60" i="10"/>
  <c r="N60" i="10"/>
  <c r="G139" i="10" s="1"/>
  <c r="M60" i="10"/>
  <c r="L60" i="10"/>
  <c r="G138" i="10" s="1"/>
  <c r="K60" i="10"/>
  <c r="J60" i="10"/>
  <c r="J121" i="10" s="1"/>
  <c r="I60" i="10"/>
  <c r="H60" i="10"/>
  <c r="G136" i="10" s="1"/>
  <c r="G60" i="10"/>
  <c r="F60" i="10"/>
  <c r="G135" i="10" s="1"/>
  <c r="E60" i="10"/>
  <c r="D60" i="10"/>
  <c r="G134" i="10" s="1"/>
  <c r="C60" i="10"/>
  <c r="B60" i="10"/>
  <c r="B121" i="10" s="1"/>
  <c r="P121" i="12" l="1"/>
  <c r="O122" i="14"/>
  <c r="O123" i="14" s="1"/>
  <c r="O124" i="14" s="1"/>
  <c r="O125" i="14" s="1"/>
  <c r="O126" i="14" s="1"/>
  <c r="O127" i="14" s="1"/>
  <c r="O128" i="14" s="1"/>
  <c r="O129" i="14" s="1"/>
  <c r="O130" i="14" s="1"/>
  <c r="O131" i="14" s="1"/>
  <c r="O132" i="14" s="1"/>
  <c r="O133" i="14" s="1"/>
  <c r="J133" i="11"/>
  <c r="J134" i="11" s="1"/>
  <c r="J135" i="11" s="1"/>
  <c r="J136" i="11" s="1"/>
  <c r="J137" i="11" s="1"/>
  <c r="J138" i="11" s="1"/>
  <c r="J139" i="11" s="1"/>
  <c r="J140" i="11" s="1"/>
  <c r="J141" i="11" s="1"/>
  <c r="J142" i="11" s="1"/>
  <c r="J143" i="11" s="1"/>
  <c r="J144" i="11" s="1"/>
  <c r="I134" i="11"/>
  <c r="H121" i="11"/>
  <c r="P121" i="11"/>
  <c r="X121" i="11"/>
  <c r="G133" i="11"/>
  <c r="I133" i="11" s="1"/>
  <c r="G137" i="11"/>
  <c r="I137" i="11" s="1"/>
  <c r="G141" i="11"/>
  <c r="I141" i="11" s="1"/>
  <c r="H135" i="11"/>
  <c r="I135" i="11" s="1"/>
  <c r="H139" i="11"/>
  <c r="I139" i="11" s="1"/>
  <c r="H143" i="11"/>
  <c r="I143" i="11" s="1"/>
  <c r="T121" i="11"/>
  <c r="D121" i="11"/>
  <c r="L121" i="11"/>
  <c r="I136" i="12"/>
  <c r="I140" i="12"/>
  <c r="I135" i="12"/>
  <c r="I139" i="12"/>
  <c r="J133" i="12" s="1"/>
  <c r="J134" i="12" s="1"/>
  <c r="J135" i="12" s="1"/>
  <c r="J136" i="12" s="1"/>
  <c r="J137" i="12" s="1"/>
  <c r="J138" i="12" s="1"/>
  <c r="J139" i="12" s="1"/>
  <c r="J140" i="12" s="1"/>
  <c r="J141" i="12" s="1"/>
  <c r="J142" i="12" s="1"/>
  <c r="J143" i="12" s="1"/>
  <c r="J144" i="12" s="1"/>
  <c r="I143" i="12"/>
  <c r="I144" i="12"/>
  <c r="G133" i="12"/>
  <c r="I133" i="12" s="1"/>
  <c r="G137" i="12"/>
  <c r="I137" i="12" s="1"/>
  <c r="G141" i="12"/>
  <c r="I141" i="12" s="1"/>
  <c r="D121" i="12"/>
  <c r="L121" i="12"/>
  <c r="T121" i="12"/>
  <c r="P121" i="10"/>
  <c r="I144" i="10"/>
  <c r="I136" i="10"/>
  <c r="I138" i="10"/>
  <c r="I140" i="10"/>
  <c r="I137" i="10"/>
  <c r="I142" i="10"/>
  <c r="G133" i="10"/>
  <c r="I133" i="10" s="1"/>
  <c r="G137" i="10"/>
  <c r="G141" i="10"/>
  <c r="I141" i="10" s="1"/>
  <c r="H120" i="9"/>
  <c r="H136" i="9" s="1"/>
  <c r="N61" i="9"/>
  <c r="N120" i="9" s="1"/>
  <c r="H139" i="9" s="1"/>
  <c r="L61" i="9"/>
  <c r="L120" i="9" s="1"/>
  <c r="H138" i="9" s="1"/>
  <c r="X120" i="9"/>
  <c r="H144" i="9" s="1"/>
  <c r="V120" i="9"/>
  <c r="T120" i="9"/>
  <c r="R120" i="9"/>
  <c r="H141" i="9" s="1"/>
  <c r="B120" i="9"/>
  <c r="H133" i="9" s="1"/>
  <c r="F120" i="9"/>
  <c r="H135" i="9" s="1"/>
  <c r="D120" i="9"/>
  <c r="H134" i="9" s="1"/>
  <c r="P61" i="9"/>
  <c r="P120" i="9" s="1"/>
  <c r="H140" i="9" s="1"/>
  <c r="O121" i="9"/>
  <c r="M121" i="9"/>
  <c r="K121" i="9"/>
  <c r="O120" i="9"/>
  <c r="M120" i="9"/>
  <c r="K120" i="9"/>
  <c r="P60" i="9"/>
  <c r="O60" i="9"/>
  <c r="M60" i="9"/>
  <c r="K60" i="9"/>
  <c r="L19" i="9"/>
  <c r="N18" i="9"/>
  <c r="N17" i="9"/>
  <c r="L16" i="9"/>
  <c r="L15" i="9"/>
  <c r="N13" i="9"/>
  <c r="H142" i="9"/>
  <c r="H137" i="9"/>
  <c r="W121" i="9"/>
  <c r="U121" i="9"/>
  <c r="S121" i="9"/>
  <c r="Q121" i="9"/>
  <c r="I121" i="9"/>
  <c r="G121" i="9"/>
  <c r="F121" i="9"/>
  <c r="E121" i="9"/>
  <c r="C121" i="9"/>
  <c r="W120" i="9"/>
  <c r="U120" i="9"/>
  <c r="S120" i="9"/>
  <c r="Q120" i="9"/>
  <c r="I120" i="9"/>
  <c r="G120" i="9"/>
  <c r="C120" i="9"/>
  <c r="X60" i="9"/>
  <c r="G144" i="9" s="1"/>
  <c r="W60" i="9"/>
  <c r="V60" i="9"/>
  <c r="G143" i="9" s="1"/>
  <c r="U60" i="9"/>
  <c r="T60" i="9"/>
  <c r="G142" i="9" s="1"/>
  <c r="S60" i="9"/>
  <c r="R60" i="9"/>
  <c r="Q60" i="9"/>
  <c r="J60" i="9"/>
  <c r="J121" i="9" s="1"/>
  <c r="I60" i="9"/>
  <c r="H60" i="9"/>
  <c r="G136" i="9" s="1"/>
  <c r="G60" i="9"/>
  <c r="F60" i="9"/>
  <c r="G135" i="9" s="1"/>
  <c r="E60" i="9"/>
  <c r="D60" i="9"/>
  <c r="G134" i="9" s="1"/>
  <c r="C60" i="9"/>
  <c r="B60" i="9"/>
  <c r="J133" i="10" l="1"/>
  <c r="J134" i="10" s="1"/>
  <c r="J135" i="10" s="1"/>
  <c r="J136" i="10" s="1"/>
  <c r="J137" i="10" s="1"/>
  <c r="J138" i="10" s="1"/>
  <c r="J139" i="10" s="1"/>
  <c r="J140" i="10" s="1"/>
  <c r="J141" i="10" s="1"/>
  <c r="J142" i="10" s="1"/>
  <c r="J143" i="10" s="1"/>
  <c r="J144" i="10" s="1"/>
  <c r="L60" i="9"/>
  <c r="G138" i="9" s="1"/>
  <c r="I138" i="9" s="1"/>
  <c r="N60" i="9"/>
  <c r="N121" i="9" s="1"/>
  <c r="V121" i="9"/>
  <c r="I135" i="9"/>
  <c r="H143" i="9"/>
  <c r="I143" i="9"/>
  <c r="R121" i="9"/>
  <c r="B121" i="9"/>
  <c r="P121" i="9"/>
  <c r="G140" i="9"/>
  <c r="I134" i="9"/>
  <c r="I144" i="9"/>
  <c r="I140" i="9"/>
  <c r="I142" i="9"/>
  <c r="I136" i="9"/>
  <c r="H121" i="9"/>
  <c r="X121" i="9"/>
  <c r="G133" i="9"/>
  <c r="I133" i="9" s="1"/>
  <c r="G137" i="9"/>
  <c r="I137" i="9" s="1"/>
  <c r="G141" i="9"/>
  <c r="I141" i="9" s="1"/>
  <c r="D121" i="9"/>
  <c r="T121" i="9"/>
  <c r="G139" i="9" l="1"/>
  <c r="I139" i="9" s="1"/>
  <c r="J133" i="9" s="1"/>
  <c r="J134" i="9" s="1"/>
  <c r="J135" i="9" s="1"/>
  <c r="J136" i="9" s="1"/>
  <c r="J137" i="9" s="1"/>
  <c r="J138" i="9" s="1"/>
  <c r="J139" i="9" s="1"/>
  <c r="J140" i="9" s="1"/>
  <c r="J141" i="9" s="1"/>
  <c r="J142" i="9" s="1"/>
  <c r="J143" i="9" s="1"/>
  <c r="J144" i="9" s="1"/>
  <c r="L121" i="9"/>
</calcChain>
</file>

<file path=xl/sharedStrings.xml><?xml version="1.0" encoding="utf-8"?>
<sst xmlns="http://schemas.openxmlformats.org/spreadsheetml/2006/main" count="219" uniqueCount="40">
  <si>
    <t>Transaktionen</t>
  </si>
  <si>
    <t>Objekt</t>
  </si>
  <si>
    <t>Essen</t>
  </si>
  <si>
    <t>Kleidung</t>
  </si>
  <si>
    <t>Apotheke</t>
  </si>
  <si>
    <t>Summe</t>
  </si>
  <si>
    <t>Bootfahren</t>
  </si>
  <si>
    <t>Monat</t>
  </si>
  <si>
    <t>sonstiges</t>
  </si>
  <si>
    <t>Einnahmen</t>
  </si>
  <si>
    <t>Ausgaben</t>
  </si>
  <si>
    <t>Diff</t>
  </si>
  <si>
    <t>Mittel</t>
  </si>
  <si>
    <t>Wetten</t>
  </si>
  <si>
    <t>Malen</t>
  </si>
  <si>
    <t>KAPITAL</t>
  </si>
  <si>
    <t>Summe -</t>
  </si>
  <si>
    <t xml:space="preserve">Summe + </t>
  </si>
  <si>
    <t>Taschengeld</t>
  </si>
  <si>
    <t>KeSt</t>
  </si>
  <si>
    <t>DKB-Visa</t>
  </si>
  <si>
    <t>Kosmetik</t>
  </si>
  <si>
    <t>Generali LifePlan</t>
  </si>
  <si>
    <t xml:space="preserve"> </t>
  </si>
  <si>
    <t>DKB VISAKONTO</t>
  </si>
  <si>
    <t>DKB-GIRO</t>
  </si>
  <si>
    <t>RAIKA-GIRO</t>
  </si>
  <si>
    <t>ING-GIRO</t>
  </si>
  <si>
    <t>ING-SPAREN</t>
  </si>
  <si>
    <t>ÜBERSICHT</t>
  </si>
  <si>
    <t>GESAMT</t>
  </si>
  <si>
    <t>SONSTIGES</t>
  </si>
  <si>
    <t>TASCHENGELD</t>
  </si>
  <si>
    <t>KLEIDUNG</t>
  </si>
  <si>
    <t>TANKEN</t>
  </si>
  <si>
    <t>ESSEN</t>
  </si>
  <si>
    <t>Datum</t>
  </si>
  <si>
    <t>Referenz</t>
  </si>
  <si>
    <t>Betrag</t>
  </si>
  <si>
    <t>Referenzkonto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</si>
</sst>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CC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CC00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9" tint="-0.249977111117893"/>
      <name val="Calibri Light"/>
      <family val="2"/>
      <scheme val="major"/>
    </font>
    <font>
      <sz val="20"/>
      <color rgb="FF000000"/>
      <name val="Calibri"/>
      <family val="2"/>
    </font>
    <font>
      <sz val="26"/>
      <color rgb="FF000000"/>
      <name val="Calibri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22"/>
      <color rgb="FF000000"/>
      <name val="Calibri Light"/>
      <family val="2"/>
    </font>
    <font>
      <sz val="18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4B47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/>
      <top style="thick">
        <color auto="1"/>
      </top>
      <bottom style="medium">
        <color auto="1"/>
      </bottom>
      <diagonal/>
    </border>
    <border>
      <left style="thin">
        <color auto="1"/>
      </left>
      <right/>
      <top style="thick">
        <color auto="1"/>
      </top>
      <bottom style="medium">
        <color auto="1"/>
      </bottom>
      <diagonal/>
    </border>
    <border>
      <left style="medium">
        <color auto="1"/>
      </left>
      <right/>
      <top style="thick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thick">
        <color auto="1"/>
      </top>
      <bottom style="medium">
        <color auto="1"/>
      </bottom>
      <diagonal/>
    </border>
    <border>
      <left style="double">
        <color auto="1"/>
      </left>
      <right/>
      <top style="double">
        <color auto="1"/>
      </top>
      <bottom style="thick">
        <color auto="1"/>
      </bottom>
      <diagonal/>
    </border>
    <border>
      <left/>
      <right style="medium">
        <color auto="1"/>
      </right>
      <top style="double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 style="thick">
        <color auto="1"/>
      </right>
      <top/>
      <bottom style="medium">
        <color indexed="64"/>
      </bottom>
      <diagonal/>
    </border>
    <border>
      <left/>
      <right/>
      <top style="double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double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0" borderId="1" xfId="0" applyFont="1" applyBorder="1"/>
    <xf numFmtId="0" fontId="1" fillId="0" borderId="24" xfId="0" applyFont="1" applyBorder="1"/>
    <xf numFmtId="0" fontId="1" fillId="0" borderId="25" xfId="0" applyFont="1" applyBorder="1" applyAlignment="1">
      <alignment horizontal="right" vertical="center"/>
    </xf>
    <xf numFmtId="0" fontId="1" fillId="0" borderId="26" xfId="0" applyFont="1" applyBorder="1"/>
    <xf numFmtId="0" fontId="1" fillId="0" borderId="27" xfId="0" applyFont="1" applyBorder="1" applyAlignment="1">
      <alignment horizontal="right" vertical="center"/>
    </xf>
    <xf numFmtId="0" fontId="1" fillId="0" borderId="2" xfId="0" applyFont="1" applyBorder="1"/>
    <xf numFmtId="0" fontId="1" fillId="0" borderId="28" xfId="0" applyFont="1" applyBorder="1" applyAlignment="1">
      <alignment horizontal="right" vertical="center"/>
    </xf>
    <xf numFmtId="0" fontId="3" fillId="0" borderId="6" xfId="0" applyFont="1" applyBorder="1" applyAlignment="1"/>
    <xf numFmtId="2" fontId="4" fillId="0" borderId="18" xfId="0" applyNumberFormat="1" applyFont="1" applyBorder="1" applyAlignment="1">
      <alignment horizontal="right" vertical="center"/>
    </xf>
    <xf numFmtId="0" fontId="3" fillId="0" borderId="3" xfId="0" applyFont="1" applyBorder="1" applyAlignment="1"/>
    <xf numFmtId="2" fontId="4" fillId="0" borderId="19" xfId="0" applyNumberFormat="1" applyFont="1" applyBorder="1" applyAlignment="1">
      <alignment horizontal="right" vertical="center"/>
    </xf>
    <xf numFmtId="0" fontId="3" fillId="0" borderId="0" xfId="0" applyFont="1" applyBorder="1" applyAlignment="1"/>
    <xf numFmtId="2" fontId="4" fillId="0" borderId="15" xfId="0" applyNumberFormat="1" applyFont="1" applyBorder="1" applyAlignment="1">
      <alignment horizontal="right" vertical="center"/>
    </xf>
    <xf numFmtId="0" fontId="4" fillId="0" borderId="19" xfId="0" applyFont="1" applyBorder="1"/>
    <xf numFmtId="0" fontId="4" fillId="0" borderId="18" xfId="0" applyFont="1" applyBorder="1"/>
    <xf numFmtId="0" fontId="4" fillId="0" borderId="15" xfId="0" applyFont="1" applyBorder="1"/>
    <xf numFmtId="0" fontId="3" fillId="0" borderId="0" xfId="0" applyFont="1" applyFill="1" applyBorder="1" applyAlignment="1"/>
    <xf numFmtId="0" fontId="3" fillId="0" borderId="3" xfId="0" applyFont="1" applyFill="1" applyBorder="1" applyAlignment="1"/>
    <xf numFmtId="0" fontId="5" fillId="0" borderId="18" xfId="0" applyFont="1" applyBorder="1"/>
    <xf numFmtId="0" fontId="5" fillId="0" borderId="19" xfId="0" applyFont="1" applyBorder="1"/>
    <xf numFmtId="2" fontId="4" fillId="0" borderId="18" xfId="0" applyNumberFormat="1" applyFont="1" applyBorder="1"/>
    <xf numFmtId="2" fontId="4" fillId="0" borderId="19" xfId="0" applyNumberFormat="1" applyFont="1" applyBorder="1"/>
    <xf numFmtId="2" fontId="4" fillId="0" borderId="15" xfId="0" applyNumberFormat="1" applyFont="1" applyBorder="1"/>
    <xf numFmtId="0" fontId="3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3" fillId="0" borderId="1" xfId="0" applyFont="1" applyBorder="1"/>
    <xf numFmtId="2" fontId="4" fillId="0" borderId="1" xfId="0" applyNumberFormat="1" applyFont="1" applyBorder="1"/>
    <xf numFmtId="0" fontId="6" fillId="0" borderId="1" xfId="0" applyFont="1" applyBorder="1"/>
    <xf numFmtId="0" fontId="7" fillId="0" borderId="1" xfId="0" applyFont="1" applyBorder="1"/>
    <xf numFmtId="0" fontId="3" fillId="5" borderId="12" xfId="0" applyFont="1" applyFill="1" applyBorder="1" applyAlignment="1"/>
    <xf numFmtId="2" fontId="4" fillId="5" borderId="20" xfId="0" applyNumberFormat="1" applyFont="1" applyFill="1" applyBorder="1"/>
    <xf numFmtId="0" fontId="3" fillId="5" borderId="14" xfId="0" applyFont="1" applyFill="1" applyBorder="1" applyAlignment="1"/>
    <xf numFmtId="2" fontId="4" fillId="5" borderId="22" xfId="0" applyNumberFormat="1" applyFont="1" applyFill="1" applyBorder="1"/>
    <xf numFmtId="0" fontId="3" fillId="5" borderId="13" xfId="0" applyFont="1" applyFill="1" applyBorder="1" applyAlignment="1"/>
    <xf numFmtId="2" fontId="4" fillId="5" borderId="16" xfId="0" applyNumberFormat="1" applyFont="1" applyFill="1" applyBorder="1"/>
    <xf numFmtId="0" fontId="3" fillId="6" borderId="12" xfId="0" applyFont="1" applyFill="1" applyBorder="1" applyAlignment="1"/>
    <xf numFmtId="0" fontId="5" fillId="6" borderId="20" xfId="0" applyFont="1" applyFill="1" applyBorder="1"/>
    <xf numFmtId="0" fontId="3" fillId="6" borderId="14" xfId="0" applyFont="1" applyFill="1" applyBorder="1"/>
    <xf numFmtId="0" fontId="3" fillId="6" borderId="13" xfId="0" applyFont="1" applyFill="1" applyBorder="1"/>
    <xf numFmtId="0" fontId="5" fillId="6" borderId="22" xfId="0" applyFont="1" applyFill="1" applyBorder="1"/>
    <xf numFmtId="0" fontId="3" fillId="6" borderId="14" xfId="0" applyFont="1" applyFill="1" applyBorder="1" applyAlignment="1"/>
    <xf numFmtId="0" fontId="5" fillId="6" borderId="16" xfId="0" applyFont="1" applyFill="1" applyBorder="1"/>
    <xf numFmtId="0" fontId="0" fillId="6" borderId="0" xfId="0" applyFill="1"/>
    <xf numFmtId="0" fontId="3" fillId="7" borderId="7" xfId="0" applyFont="1" applyFill="1" applyBorder="1"/>
    <xf numFmtId="2" fontId="3" fillId="7" borderId="21" xfId="0" applyNumberFormat="1" applyFont="1" applyFill="1" applyBorder="1"/>
    <xf numFmtId="0" fontId="3" fillId="7" borderId="11" xfId="0" applyFont="1" applyFill="1" applyBorder="1"/>
    <xf numFmtId="2" fontId="3" fillId="7" borderId="23" xfId="0" applyNumberFormat="1" applyFont="1" applyFill="1" applyBorder="1"/>
    <xf numFmtId="0" fontId="3" fillId="7" borderId="8" xfId="0" applyFont="1" applyFill="1" applyBorder="1"/>
    <xf numFmtId="2" fontId="3" fillId="7" borderId="17" xfId="0" applyNumberFormat="1" applyFont="1" applyFill="1" applyBorder="1"/>
    <xf numFmtId="0" fontId="0" fillId="7" borderId="0" xfId="0" applyFill="1"/>
    <xf numFmtId="0" fontId="0" fillId="8" borderId="0" xfId="0" applyFill="1"/>
    <xf numFmtId="0" fontId="0" fillId="8" borderId="8" xfId="0" applyFill="1" applyBorder="1"/>
    <xf numFmtId="0" fontId="5" fillId="6" borderId="35" xfId="0" applyFont="1" applyFill="1" applyBorder="1"/>
    <xf numFmtId="2" fontId="5" fillId="0" borderId="18" xfId="0" applyNumberFormat="1" applyFont="1" applyBorder="1"/>
    <xf numFmtId="0" fontId="9" fillId="8" borderId="0" xfId="0" applyFont="1" applyFill="1"/>
    <xf numFmtId="0" fontId="0" fillId="9" borderId="0" xfId="0" applyFill="1"/>
    <xf numFmtId="0" fontId="0" fillId="9" borderId="8" xfId="0" applyFill="1" applyBorder="1"/>
    <xf numFmtId="0" fontId="0" fillId="10" borderId="0" xfId="0" applyFill="1"/>
    <xf numFmtId="0" fontId="0" fillId="10" borderId="8" xfId="0" applyFill="1" applyBorder="1"/>
    <xf numFmtId="0" fontId="0" fillId="11" borderId="0" xfId="0" applyFill="1"/>
    <xf numFmtId="0" fontId="0" fillId="11" borderId="8" xfId="0" applyFill="1" applyBorder="1"/>
    <xf numFmtId="0" fontId="0" fillId="7" borderId="8" xfId="0" applyFill="1" applyBorder="1"/>
    <xf numFmtId="0" fontId="0" fillId="12" borderId="0" xfId="0" applyFill="1"/>
    <xf numFmtId="0" fontId="0" fillId="12" borderId="8" xfId="0" applyFill="1" applyBorder="1"/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1" xfId="0" applyBorder="1" applyAlignment="1">
      <alignment horizontal="right"/>
    </xf>
    <xf numFmtId="0" fontId="0" fillId="0" borderId="1" xfId="0" applyFont="1" applyBorder="1" applyAlignment="1">
      <alignment horizontal="right"/>
    </xf>
    <xf numFmtId="3" fontId="0" fillId="0" borderId="1" xfId="0" applyNumberFormat="1" applyBorder="1" applyAlignment="1">
      <alignment horizontal="right"/>
    </xf>
    <xf numFmtId="2" fontId="5" fillId="6" borderId="22" xfId="0" applyNumberFormat="1" applyFont="1" applyFill="1" applyBorder="1"/>
    <xf numFmtId="2" fontId="5" fillId="6" borderId="20" xfId="0" applyNumberFormat="1" applyFont="1" applyFill="1" applyBorder="1"/>
    <xf numFmtId="2" fontId="5" fillId="6" borderId="16" xfId="0" applyNumberFormat="1" applyFont="1" applyFill="1" applyBorder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37" xfId="0" applyBorder="1"/>
    <xf numFmtId="0" fontId="0" fillId="0" borderId="37" xfId="0" applyBorder="1" applyAlignment="1">
      <alignment horizontal="center"/>
    </xf>
    <xf numFmtId="0" fontId="0" fillId="15" borderId="38" xfId="0" applyFill="1" applyBorder="1" applyAlignment="1">
      <alignment horizontal="center"/>
    </xf>
    <xf numFmtId="0" fontId="0" fillId="15" borderId="36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15" borderId="40" xfId="0" applyFill="1" applyBorder="1" applyAlignment="1">
      <alignment horizontal="center"/>
    </xf>
    <xf numFmtId="0" fontId="0" fillId="0" borderId="39" xfId="0" applyBorder="1"/>
    <xf numFmtId="0" fontId="14" fillId="0" borderId="41" xfId="0" applyFont="1" applyBorder="1" applyAlignment="1">
      <alignment horizontal="center" vertical="center"/>
    </xf>
    <xf numFmtId="0" fontId="14" fillId="15" borderId="42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/>
    </xf>
    <xf numFmtId="14" fontId="3" fillId="0" borderId="3" xfId="0" applyNumberFormat="1" applyFont="1" applyBorder="1" applyAlignment="1"/>
    <xf numFmtId="0" fontId="3" fillId="0" borderId="48" xfId="0" applyFont="1" applyBorder="1" applyAlignment="1"/>
    <xf numFmtId="0" fontId="1" fillId="0" borderId="49" xfId="0" applyFont="1" applyBorder="1"/>
    <xf numFmtId="0" fontId="10" fillId="8" borderId="0" xfId="0" applyFont="1" applyFill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8" fillId="9" borderId="31" xfId="0" applyFont="1" applyFill="1" applyBorder="1" applyAlignment="1">
      <alignment horizontal="center"/>
    </xf>
    <xf numFmtId="0" fontId="8" fillId="9" borderId="32" xfId="0" applyFont="1" applyFill="1" applyBorder="1" applyAlignment="1">
      <alignment horizontal="center"/>
    </xf>
    <xf numFmtId="0" fontId="8" fillId="9" borderId="33" xfId="0" applyFont="1" applyFill="1" applyBorder="1" applyAlignment="1">
      <alignment horizontal="center"/>
    </xf>
    <xf numFmtId="0" fontId="8" fillId="9" borderId="34" xfId="0" applyFont="1" applyFill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3" fillId="7" borderId="47" xfId="0" applyFont="1" applyFill="1" applyBorder="1" applyAlignment="1">
      <alignment horizontal="left"/>
    </xf>
    <xf numFmtId="0" fontId="3" fillId="7" borderId="46" xfId="0" applyFont="1" applyFill="1" applyBorder="1" applyAlignment="1">
      <alignment horizontal="left"/>
    </xf>
    <xf numFmtId="0" fontId="3" fillId="6" borderId="14" xfId="0" applyFont="1" applyFill="1" applyBorder="1" applyAlignment="1">
      <alignment horizontal="left"/>
    </xf>
    <xf numFmtId="0" fontId="3" fillId="6" borderId="44" xfId="0" applyFont="1" applyFill="1" applyBorder="1" applyAlignment="1">
      <alignment horizontal="left"/>
    </xf>
    <xf numFmtId="0" fontId="3" fillId="6" borderId="13" xfId="0" applyFont="1" applyFill="1" applyBorder="1" applyAlignment="1">
      <alignment horizontal="left"/>
    </xf>
    <xf numFmtId="0" fontId="3" fillId="5" borderId="14" xfId="0" applyFont="1" applyFill="1" applyBorder="1" applyAlignment="1">
      <alignment horizontal="left"/>
    </xf>
    <xf numFmtId="0" fontId="3" fillId="5" borderId="44" xfId="0" applyFont="1" applyFill="1" applyBorder="1" applyAlignment="1">
      <alignment horizontal="left"/>
    </xf>
    <xf numFmtId="0" fontId="3" fillId="5" borderId="12" xfId="0" applyFont="1" applyFill="1" applyBorder="1" applyAlignment="1">
      <alignment horizontal="left"/>
    </xf>
    <xf numFmtId="0" fontId="3" fillId="7" borderId="45" xfId="0" applyFont="1" applyFill="1" applyBorder="1" applyAlignment="1">
      <alignment horizontal="left"/>
    </xf>
    <xf numFmtId="0" fontId="3" fillId="6" borderId="12" xfId="0" applyFont="1" applyFill="1" applyBorder="1" applyAlignment="1">
      <alignment horizontal="left"/>
    </xf>
    <xf numFmtId="0" fontId="8" fillId="10" borderId="31" xfId="0" applyFont="1" applyFill="1" applyBorder="1" applyAlignment="1">
      <alignment horizontal="center"/>
    </xf>
    <xf numFmtId="0" fontId="8" fillId="10" borderId="32" xfId="0" applyFont="1" applyFill="1" applyBorder="1" applyAlignment="1">
      <alignment horizontal="center"/>
    </xf>
    <xf numFmtId="0" fontId="8" fillId="16" borderId="33" xfId="0" applyFont="1" applyFill="1" applyBorder="1" applyAlignment="1">
      <alignment horizontal="center"/>
    </xf>
    <xf numFmtId="0" fontId="8" fillId="16" borderId="34" xfId="0" applyFont="1" applyFill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8" fillId="11" borderId="31" xfId="0" applyFont="1" applyFill="1" applyBorder="1" applyAlignment="1">
      <alignment horizontal="center"/>
    </xf>
    <xf numFmtId="0" fontId="8" fillId="11" borderId="32" xfId="0" applyFont="1" applyFill="1" applyBorder="1" applyAlignment="1">
      <alignment horizontal="center"/>
    </xf>
    <xf numFmtId="0" fontId="8" fillId="11" borderId="33" xfId="0" applyFont="1" applyFill="1" applyBorder="1" applyAlignment="1">
      <alignment horizontal="center"/>
    </xf>
    <xf numFmtId="0" fontId="8" fillId="11" borderId="34" xfId="0" applyFont="1" applyFill="1" applyBorder="1" applyAlignment="1">
      <alignment horizontal="center"/>
    </xf>
    <xf numFmtId="0" fontId="8" fillId="12" borderId="31" xfId="0" applyFont="1" applyFill="1" applyBorder="1" applyAlignment="1">
      <alignment horizontal="center"/>
    </xf>
    <xf numFmtId="0" fontId="8" fillId="12" borderId="32" xfId="0" applyFont="1" applyFill="1" applyBorder="1" applyAlignment="1">
      <alignment horizontal="center"/>
    </xf>
    <xf numFmtId="0" fontId="8" fillId="12" borderId="33" xfId="0" applyFont="1" applyFill="1" applyBorder="1" applyAlignment="1">
      <alignment horizontal="center"/>
    </xf>
    <xf numFmtId="0" fontId="8" fillId="12" borderId="34" xfId="0" applyFont="1" applyFill="1" applyBorder="1" applyAlignment="1">
      <alignment horizontal="center"/>
    </xf>
    <xf numFmtId="0" fontId="8" fillId="7" borderId="31" xfId="0" applyFont="1" applyFill="1" applyBorder="1" applyAlignment="1">
      <alignment horizontal="center"/>
    </xf>
    <xf numFmtId="0" fontId="8" fillId="7" borderId="32" xfId="0" applyFont="1" applyFill="1" applyBorder="1" applyAlignment="1">
      <alignment horizontal="center"/>
    </xf>
    <xf numFmtId="0" fontId="8" fillId="7" borderId="33" xfId="0" applyFont="1" applyFill="1" applyBorder="1" applyAlignment="1">
      <alignment horizontal="center"/>
    </xf>
    <xf numFmtId="0" fontId="8" fillId="7" borderId="34" xfId="0" applyFont="1" applyFill="1" applyBorder="1" applyAlignment="1">
      <alignment horizontal="center"/>
    </xf>
  </cellXfs>
  <cellStyles count="1">
    <cellStyle name="Standard" xfId="0" builtinId="0"/>
  </cellStyles>
  <dxfs count="321"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</dxf>
    <dxf>
      <font>
        <color theme="1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</dxf>
    <dxf>
      <font>
        <color theme="1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4B474"/>
      <color rgb="FF00CC00"/>
      <color rgb="FFFFFFCC"/>
      <color rgb="FFFF7171"/>
      <color rgb="FFDF40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938300</xdr:colOff>
          <xdr:row>0</xdr:row>
          <xdr:rowOff>141663</xdr:rowOff>
        </xdr:from>
        <xdr:to>
          <xdr:col>10</xdr:col>
          <xdr:colOff>403861</xdr:colOff>
          <xdr:row>4</xdr:row>
          <xdr:rowOff>27363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AT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15240</xdr:rowOff>
        </xdr:from>
        <xdr:to>
          <xdr:col>7</xdr:col>
          <xdr:colOff>1066800</xdr:colOff>
          <xdr:row>3</xdr:row>
          <xdr:rowOff>15240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632460</xdr:colOff>
          <xdr:row>1</xdr:row>
          <xdr:rowOff>30480</xdr:rowOff>
        </xdr:from>
        <xdr:to>
          <xdr:col>8</xdr:col>
          <xdr:colOff>213360</xdr:colOff>
          <xdr:row>3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de-AT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1181100</xdr:colOff>
          <xdr:row>1</xdr:row>
          <xdr:rowOff>15240</xdr:rowOff>
        </xdr:from>
        <xdr:to>
          <xdr:col>12</xdr:col>
          <xdr:colOff>0</xdr:colOff>
          <xdr:row>3</xdr:row>
          <xdr:rowOff>22860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AT" sz="22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NEW TRANSACTION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624840</xdr:colOff>
          <xdr:row>1</xdr:row>
          <xdr:rowOff>30480</xdr:rowOff>
        </xdr:from>
        <xdr:to>
          <xdr:col>15</xdr:col>
          <xdr:colOff>716280</xdr:colOff>
          <xdr:row>3</xdr:row>
          <xdr:rowOff>30480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AT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</xdr:row>
          <xdr:rowOff>30480</xdr:rowOff>
        </xdr:from>
        <xdr:to>
          <xdr:col>8</xdr:col>
          <xdr:colOff>381000</xdr:colOff>
          <xdr:row>3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de-AT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</xdr:row>
          <xdr:rowOff>30480</xdr:rowOff>
        </xdr:from>
        <xdr:to>
          <xdr:col>8</xdr:col>
          <xdr:colOff>381000</xdr:colOff>
          <xdr:row>3</xdr:row>
          <xdr:rowOff>45720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de-AT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</xdr:row>
          <xdr:rowOff>30480</xdr:rowOff>
        </xdr:from>
        <xdr:to>
          <xdr:col>8</xdr:col>
          <xdr:colOff>381000</xdr:colOff>
          <xdr:row>3</xdr:row>
          <xdr:rowOff>45720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de-AT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22860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Transaktion 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F44C8-BDE2-43EB-AEF4-A3C9C7F773B3}">
  <sheetPr codeName="Tabelle2">
    <tabColor theme="0" tint="-4.9989318521683403E-2"/>
  </sheetPr>
  <dimension ref="A1:L17"/>
  <sheetViews>
    <sheetView zoomScale="88" workbookViewId="0">
      <selection activeCell="D2" sqref="D2:D4"/>
    </sheetView>
  </sheetViews>
  <sheetFormatPr baseColWidth="10" defaultRowHeight="14.4"/>
  <cols>
    <col min="3" max="3" width="16.6640625" bestFit="1" customWidth="1"/>
    <col min="4" max="4" width="14.77734375" bestFit="1" customWidth="1"/>
    <col min="5" max="5" width="14.6640625" bestFit="1" customWidth="1"/>
    <col min="6" max="6" width="15" bestFit="1" customWidth="1"/>
    <col min="7" max="7" width="14.44140625" bestFit="1" customWidth="1"/>
    <col min="8" max="8" width="6.109375" bestFit="1" customWidth="1"/>
    <col min="9" max="9" width="7.77734375" bestFit="1" customWidth="1"/>
    <col min="10" max="10" width="9.5546875" bestFit="1" customWidth="1"/>
    <col min="11" max="11" width="13" bestFit="1" customWidth="1"/>
    <col min="12" max="12" width="10.109375" bestFit="1" customWidth="1"/>
  </cols>
  <sheetData>
    <row r="1" spans="1:12" s="56" customFormat="1"/>
    <row r="2" spans="1:12" s="56" customFormat="1" ht="14.4" customHeight="1">
      <c r="B2" s="93" t="s">
        <v>29</v>
      </c>
      <c r="C2" s="93"/>
      <c r="D2" s="93">
        <v>2020</v>
      </c>
    </row>
    <row r="3" spans="1:12" s="52" customFormat="1">
      <c r="B3" s="93"/>
      <c r="C3" s="93"/>
      <c r="D3" s="93"/>
    </row>
    <row r="4" spans="1:12" s="52" customFormat="1">
      <c r="B4" s="93"/>
      <c r="C4" s="93"/>
      <c r="D4" s="93"/>
    </row>
    <row r="5" spans="1:12" s="53" customFormat="1" ht="15" thickBot="1"/>
    <row r="6" spans="1:12" ht="15" thickTop="1">
      <c r="A6" s="66" t="s">
        <v>26</v>
      </c>
      <c r="B6" s="67" t="s">
        <v>27</v>
      </c>
      <c r="C6" s="68" t="s">
        <v>28</v>
      </c>
      <c r="D6" s="69" t="s">
        <v>25</v>
      </c>
      <c r="E6" s="70" t="s">
        <v>24</v>
      </c>
      <c r="F6" s="71" t="s">
        <v>30</v>
      </c>
      <c r="H6" t="s">
        <v>35</v>
      </c>
      <c r="I6" t="s">
        <v>34</v>
      </c>
      <c r="J6" t="s">
        <v>33</v>
      </c>
      <c r="K6" t="s">
        <v>32</v>
      </c>
      <c r="L6" t="s">
        <v>31</v>
      </c>
    </row>
    <row r="7" spans="1:12">
      <c r="A7" s="72">
        <v>0</v>
      </c>
      <c r="B7" s="73">
        <v>-990</v>
      </c>
      <c r="C7" s="72">
        <v>0</v>
      </c>
      <c r="D7" s="72">
        <v>0</v>
      </c>
      <c r="E7" s="72">
        <v>0</v>
      </c>
      <c r="F7" s="74">
        <v>-990</v>
      </c>
    </row>
    <row r="17" ht="18.600000000000001" customHeight="1"/>
  </sheetData>
  <mergeCells count="2">
    <mergeCell ref="B2:C4"/>
    <mergeCell ref="D2:D4"/>
  </mergeCells>
  <conditionalFormatting sqref="A7:F7">
    <cfRule type="cellIs" dxfId="320" priority="1" operator="equal">
      <formula>0</formula>
    </cfRule>
    <cfRule type="cellIs" dxfId="319" priority="2" operator="lessThan">
      <formula>0</formula>
    </cfRule>
    <cfRule type="cellIs" dxfId="318" priority="3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lc_Sum">
                <anchor moveWithCells="1" sizeWithCells="1">
                  <from>
                    <xdr:col>6</xdr:col>
                    <xdr:colOff>937260</xdr:colOff>
                    <xdr:row>0</xdr:row>
                    <xdr:rowOff>144780</xdr:rowOff>
                  </from>
                  <to>
                    <xdr:col>10</xdr:col>
                    <xdr:colOff>403860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B64BE-4415-4EE1-AFCB-945D94797F76}">
  <sheetPr codeName="Tabelle4">
    <tabColor rgb="FFFFFF00"/>
  </sheetPr>
  <dimension ref="A1:Y157"/>
  <sheetViews>
    <sheetView topLeftCell="A82" zoomScale="54" zoomScaleNormal="54" workbookViewId="0">
      <selection activeCell="B132" sqref="B132"/>
    </sheetView>
  </sheetViews>
  <sheetFormatPr baseColWidth="10" defaultRowHeight="14.4"/>
  <cols>
    <col min="1" max="1" width="11.6640625" bestFit="1" customWidth="1"/>
    <col min="2" max="2" width="17.77734375" bestFit="1" customWidth="1"/>
    <col min="3" max="3" width="13.5546875" customWidth="1"/>
    <col min="4" max="4" width="17.77734375" bestFit="1" customWidth="1"/>
    <col min="5" max="5" width="11" customWidth="1"/>
    <col min="6" max="6" width="17.77734375" bestFit="1" customWidth="1"/>
    <col min="7" max="7" width="11.6640625" customWidth="1"/>
    <col min="8" max="8" width="17.77734375" bestFit="1" customWidth="1"/>
    <col min="9" max="9" width="11.6640625" customWidth="1"/>
    <col min="10" max="10" width="17.77734375" bestFit="1" customWidth="1"/>
    <col min="11" max="11" width="18.33203125" customWidth="1"/>
    <col min="12" max="12" width="17.77734375" bestFit="1" customWidth="1"/>
    <col min="13" max="13" width="13.77734375" customWidth="1"/>
    <col min="14" max="14" width="17.77734375" bestFit="1" customWidth="1"/>
    <col min="15" max="15" width="13.77734375" customWidth="1"/>
    <col min="16" max="16" width="17.77734375" bestFit="1" customWidth="1"/>
    <col min="17" max="17" width="11" customWidth="1"/>
    <col min="18" max="18" width="17.77734375" bestFit="1" customWidth="1"/>
    <col min="19" max="19" width="11" bestFit="1" customWidth="1"/>
    <col min="20" max="20" width="17.77734375" bestFit="1" customWidth="1"/>
    <col min="21" max="21" width="11" bestFit="1" customWidth="1"/>
    <col min="22" max="22" width="17.77734375" bestFit="1" customWidth="1"/>
    <col min="23" max="23" width="11" bestFit="1" customWidth="1"/>
    <col min="24" max="24" width="17.77734375" bestFit="1" customWidth="1"/>
  </cols>
  <sheetData>
    <row r="1" spans="1:25" s="57" customFormat="1" ht="15" thickBot="1"/>
    <row r="2" spans="1:25" s="57" customFormat="1" ht="37.200000000000003" thickTop="1">
      <c r="B2" s="96" t="s">
        <v>15</v>
      </c>
      <c r="C2" s="97"/>
    </row>
    <row r="3" spans="1:25" s="57" customFormat="1" ht="37.200000000000003" thickBot="1">
      <c r="B3" s="98">
        <v>0</v>
      </c>
      <c r="C3" s="99"/>
    </row>
    <row r="4" spans="1:25" s="57" customFormat="1" ht="15" thickTop="1"/>
    <row r="5" spans="1:25" s="57" customFormat="1"/>
    <row r="6" spans="1:25" s="57" customFormat="1" ht="15" thickBot="1">
      <c r="A6" s="58"/>
      <c r="B6" s="58"/>
      <c r="C6" s="58"/>
      <c r="D6" s="58"/>
      <c r="E6" s="58"/>
      <c r="F6" s="58"/>
      <c r="G6" s="58"/>
      <c r="H6" s="58"/>
      <c r="I6" s="58"/>
      <c r="J6" s="58" t="s">
        <v>23</v>
      </c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</row>
    <row r="7" spans="1:25" ht="15" thickTop="1"/>
    <row r="9" spans="1:25" ht="15" thickBot="1"/>
    <row r="10" spans="1:25" ht="27" thickTop="1" thickBot="1">
      <c r="A10" s="102">
        <v>1</v>
      </c>
      <c r="B10" s="103"/>
      <c r="C10" s="100">
        <v>2</v>
      </c>
      <c r="D10" s="101"/>
      <c r="E10" s="94">
        <v>3</v>
      </c>
      <c r="F10" s="94"/>
      <c r="G10" s="100">
        <v>4</v>
      </c>
      <c r="H10" s="101"/>
      <c r="I10" s="94">
        <v>5</v>
      </c>
      <c r="J10" s="94"/>
      <c r="K10" s="100">
        <v>6</v>
      </c>
      <c r="L10" s="101"/>
      <c r="M10" s="94">
        <v>7</v>
      </c>
      <c r="N10" s="94"/>
      <c r="O10" s="100">
        <v>8</v>
      </c>
      <c r="P10" s="101"/>
      <c r="Q10" s="94">
        <v>9</v>
      </c>
      <c r="R10" s="94"/>
      <c r="S10" s="100">
        <v>10</v>
      </c>
      <c r="T10" s="101"/>
      <c r="U10" s="94">
        <v>11</v>
      </c>
      <c r="V10" s="94"/>
      <c r="W10" s="94">
        <v>12</v>
      </c>
      <c r="X10" s="95"/>
    </row>
    <row r="11" spans="1:25" ht="16.8" thickTop="1" thickBot="1">
      <c r="A11" s="2" t="s">
        <v>1</v>
      </c>
      <c r="B11" s="3" t="s">
        <v>0</v>
      </c>
      <c r="C11" s="4" t="s">
        <v>1</v>
      </c>
      <c r="D11" s="5" t="s">
        <v>0</v>
      </c>
      <c r="E11" s="6" t="s">
        <v>1</v>
      </c>
      <c r="F11" s="3" t="s">
        <v>0</v>
      </c>
      <c r="G11" s="4" t="s">
        <v>1</v>
      </c>
      <c r="H11" s="5" t="s">
        <v>0</v>
      </c>
      <c r="I11" s="6" t="s">
        <v>1</v>
      </c>
      <c r="J11" s="3" t="s">
        <v>0</v>
      </c>
      <c r="K11" s="4" t="s">
        <v>1</v>
      </c>
      <c r="L11" s="5" t="s">
        <v>0</v>
      </c>
      <c r="M11" s="6" t="s">
        <v>1</v>
      </c>
      <c r="N11" s="3" t="s">
        <v>0</v>
      </c>
      <c r="O11" s="4" t="s">
        <v>1</v>
      </c>
      <c r="P11" s="5" t="s">
        <v>0</v>
      </c>
      <c r="Q11" s="6" t="s">
        <v>1</v>
      </c>
      <c r="R11" s="3" t="s">
        <v>0</v>
      </c>
      <c r="S11" s="4" t="s">
        <v>1</v>
      </c>
      <c r="T11" s="5" t="s">
        <v>0</v>
      </c>
      <c r="U11" s="6" t="s">
        <v>1</v>
      </c>
      <c r="V11" s="3" t="s">
        <v>0</v>
      </c>
      <c r="W11" s="4" t="s">
        <v>1</v>
      </c>
      <c r="X11" s="7" t="s">
        <v>0</v>
      </c>
    </row>
    <row r="12" spans="1:25" ht="15.6">
      <c r="A12" s="8"/>
      <c r="B12" s="9"/>
      <c r="C12" s="10"/>
      <c r="D12" s="11"/>
      <c r="E12" s="12"/>
      <c r="F12" s="9"/>
      <c r="G12" s="10"/>
      <c r="H12" s="11"/>
      <c r="I12" s="12"/>
      <c r="J12" s="9"/>
      <c r="K12" s="10" t="s">
        <v>19</v>
      </c>
      <c r="L12" s="11">
        <v>-0.1</v>
      </c>
      <c r="M12" s="12" t="s">
        <v>19</v>
      </c>
      <c r="N12" s="9">
        <v>-0.12</v>
      </c>
      <c r="O12" s="10" t="s">
        <v>14</v>
      </c>
      <c r="P12" s="11">
        <v>-14.23</v>
      </c>
      <c r="Q12" s="12"/>
      <c r="R12" s="9"/>
      <c r="S12" s="10"/>
      <c r="T12" s="11"/>
      <c r="U12" s="12"/>
      <c r="V12" s="9"/>
      <c r="W12" s="10"/>
      <c r="X12" s="13"/>
    </row>
    <row r="13" spans="1:25" ht="15.6">
      <c r="A13" s="8"/>
      <c r="B13" s="9"/>
      <c r="C13" s="10"/>
      <c r="D13" s="11"/>
      <c r="E13" s="12"/>
      <c r="F13" s="9"/>
      <c r="G13" s="10"/>
      <c r="H13" s="11"/>
      <c r="I13" s="12"/>
      <c r="J13" s="9"/>
      <c r="K13" s="10" t="s">
        <v>18</v>
      </c>
      <c r="L13" s="11">
        <v>-500</v>
      </c>
      <c r="M13" s="12" t="s">
        <v>2</v>
      </c>
      <c r="N13" s="9">
        <f>-14.05-8.3</f>
        <v>-22.35</v>
      </c>
      <c r="O13" s="10" t="s">
        <v>18</v>
      </c>
      <c r="P13" s="11">
        <v>-100</v>
      </c>
      <c r="Q13" s="12"/>
      <c r="R13" s="9"/>
      <c r="S13" s="10"/>
      <c r="T13" s="11"/>
      <c r="U13" s="12"/>
      <c r="V13" s="9"/>
      <c r="W13" s="10"/>
      <c r="X13" s="13"/>
    </row>
    <row r="14" spans="1:25" ht="15.6">
      <c r="A14" s="8"/>
      <c r="B14" s="9"/>
      <c r="C14" s="10"/>
      <c r="D14" s="14"/>
      <c r="E14" s="12"/>
      <c r="F14" s="15"/>
      <c r="G14" s="10"/>
      <c r="H14" s="14"/>
      <c r="I14" s="12"/>
      <c r="J14" s="15"/>
      <c r="K14" s="10" t="s">
        <v>22</v>
      </c>
      <c r="L14" s="11">
        <v>-100.01</v>
      </c>
      <c r="M14" s="12" t="s">
        <v>18</v>
      </c>
      <c r="N14" s="15">
        <v>-500</v>
      </c>
      <c r="O14" s="10"/>
      <c r="P14" s="14"/>
      <c r="Q14" s="12"/>
      <c r="R14" s="15"/>
      <c r="S14" s="10"/>
      <c r="T14" s="14"/>
      <c r="U14" s="12"/>
      <c r="V14" s="15"/>
      <c r="W14" s="10"/>
      <c r="X14" s="16"/>
    </row>
    <row r="15" spans="1:25" ht="15.6">
      <c r="A15" s="8"/>
      <c r="B15" s="9"/>
      <c r="C15" s="10"/>
      <c r="D15" s="11"/>
      <c r="E15" s="17"/>
      <c r="F15" s="9"/>
      <c r="G15" s="10"/>
      <c r="H15" s="11"/>
      <c r="I15" s="12"/>
      <c r="J15" s="9"/>
      <c r="K15" s="10" t="s">
        <v>3</v>
      </c>
      <c r="L15" s="11">
        <f>-16.99</f>
        <v>-16.989999999999998</v>
      </c>
      <c r="M15" s="12" t="s">
        <v>20</v>
      </c>
      <c r="N15" s="9">
        <v>-100</v>
      </c>
      <c r="O15" s="18"/>
      <c r="P15" s="11"/>
      <c r="Q15" s="12"/>
      <c r="R15" s="9"/>
      <c r="S15" s="10"/>
      <c r="T15" s="11"/>
      <c r="U15" s="12"/>
      <c r="V15" s="9"/>
      <c r="W15" s="10"/>
      <c r="X15" s="13"/>
    </row>
    <row r="16" spans="1:25" ht="15.6">
      <c r="A16" s="8"/>
      <c r="B16" s="9"/>
      <c r="C16" s="10"/>
      <c r="D16" s="11"/>
      <c r="E16" s="17"/>
      <c r="F16" s="9"/>
      <c r="G16" s="10"/>
      <c r="H16" s="11"/>
      <c r="I16" s="12"/>
      <c r="J16" s="9"/>
      <c r="K16" s="10" t="s">
        <v>2</v>
      </c>
      <c r="L16" s="11">
        <f>-21-55.16-9.78-9.72-14.6-3.1</f>
        <v>-113.35999999999999</v>
      </c>
      <c r="M16" s="12" t="s">
        <v>6</v>
      </c>
      <c r="N16" s="9">
        <v>-36</v>
      </c>
      <c r="O16" s="18"/>
      <c r="P16" s="11"/>
      <c r="Q16" s="12"/>
      <c r="R16" s="9"/>
      <c r="S16" s="10"/>
      <c r="T16" s="11"/>
      <c r="U16" s="12"/>
      <c r="V16" s="9"/>
      <c r="W16" s="10"/>
      <c r="X16" s="13"/>
    </row>
    <row r="17" spans="1:24" ht="15.6">
      <c r="A17" s="8"/>
      <c r="B17" s="9"/>
      <c r="C17" s="10"/>
      <c r="D17" s="11"/>
      <c r="E17" s="17"/>
      <c r="F17" s="9"/>
      <c r="G17" s="10"/>
      <c r="H17" s="11"/>
      <c r="I17" s="12"/>
      <c r="J17" s="9"/>
      <c r="K17" s="10" t="s">
        <v>4</v>
      </c>
      <c r="L17" s="11">
        <v>-23.9</v>
      </c>
      <c r="M17" s="12" t="s">
        <v>21</v>
      </c>
      <c r="N17" s="9">
        <f>-14.98</f>
        <v>-14.98</v>
      </c>
      <c r="O17" s="18"/>
      <c r="P17" s="11"/>
      <c r="Q17" s="12"/>
      <c r="R17" s="9"/>
      <c r="S17" s="10"/>
      <c r="T17" s="11"/>
      <c r="U17" s="12"/>
      <c r="V17" s="9"/>
      <c r="W17" s="10"/>
      <c r="X17" s="13"/>
    </row>
    <row r="18" spans="1:24" ht="15.6">
      <c r="A18" s="8"/>
      <c r="B18" s="9"/>
      <c r="C18" s="10"/>
      <c r="D18" s="11"/>
      <c r="E18" s="17"/>
      <c r="F18" s="9"/>
      <c r="G18" s="10"/>
      <c r="H18" s="11"/>
      <c r="I18" s="12"/>
      <c r="J18" s="9"/>
      <c r="K18" s="10" t="s">
        <v>13</v>
      </c>
      <c r="L18" s="11">
        <v>-25</v>
      </c>
      <c r="M18" s="17" t="s">
        <v>8</v>
      </c>
      <c r="N18" s="9">
        <f>-32.5-21.98-29.98-8.66-19.99</f>
        <v>-113.11</v>
      </c>
      <c r="O18" s="18"/>
      <c r="P18" s="11"/>
      <c r="Q18" s="12"/>
      <c r="R18" s="9"/>
      <c r="S18" s="10"/>
      <c r="T18" s="11"/>
      <c r="U18" s="12"/>
      <c r="V18" s="9"/>
      <c r="W18" s="10"/>
      <c r="X18" s="13"/>
    </row>
    <row r="19" spans="1:24" ht="15.6">
      <c r="A19" s="8"/>
      <c r="B19" s="9"/>
      <c r="C19" s="18"/>
      <c r="D19" s="11"/>
      <c r="E19" s="17"/>
      <c r="F19" s="9"/>
      <c r="G19" s="10"/>
      <c r="H19" s="11"/>
      <c r="I19" s="12"/>
      <c r="J19" s="9"/>
      <c r="K19" s="10" t="s">
        <v>8</v>
      </c>
      <c r="L19" s="11">
        <f>-50-32.37-23.8-28.26</f>
        <v>-134.43</v>
      </c>
      <c r="M19" s="17"/>
      <c r="N19" s="9"/>
      <c r="O19" s="18"/>
      <c r="P19" s="11"/>
      <c r="Q19" s="12"/>
      <c r="R19" s="9"/>
      <c r="S19" s="10"/>
      <c r="T19" s="11"/>
      <c r="U19" s="12"/>
      <c r="V19" s="9"/>
      <c r="W19" s="10"/>
      <c r="X19" s="13"/>
    </row>
    <row r="20" spans="1:24" ht="15.6">
      <c r="A20" s="8"/>
      <c r="B20" s="9"/>
      <c r="C20" s="18"/>
      <c r="D20" s="11"/>
      <c r="E20" s="17"/>
      <c r="F20" s="19"/>
      <c r="G20" s="10"/>
      <c r="H20" s="11"/>
      <c r="I20" s="12"/>
      <c r="J20" s="9"/>
      <c r="K20" s="10"/>
      <c r="L20" s="11"/>
      <c r="M20" s="17"/>
      <c r="N20" s="9"/>
      <c r="O20" s="18"/>
      <c r="P20" s="11"/>
      <c r="Q20" s="12"/>
      <c r="R20" s="9"/>
      <c r="S20" s="10"/>
      <c r="T20" s="11"/>
      <c r="U20" s="12"/>
      <c r="V20" s="9"/>
      <c r="W20" s="10"/>
      <c r="X20" s="13"/>
    </row>
    <row r="21" spans="1:24" ht="15.6">
      <c r="A21" s="8"/>
      <c r="B21" s="9"/>
      <c r="C21" s="18"/>
      <c r="D21" s="20"/>
      <c r="E21" s="12"/>
      <c r="F21" s="9"/>
      <c r="G21" s="10"/>
      <c r="H21" s="11"/>
      <c r="I21" s="12"/>
      <c r="J21" s="9"/>
      <c r="K21" s="10"/>
      <c r="L21" s="11"/>
      <c r="M21" s="17"/>
      <c r="N21" s="9"/>
      <c r="O21" s="10"/>
      <c r="P21" s="11"/>
      <c r="Q21" s="12"/>
      <c r="R21" s="9"/>
      <c r="S21" s="10"/>
      <c r="T21" s="11"/>
      <c r="U21" s="12"/>
      <c r="V21" s="9"/>
      <c r="W21" s="10"/>
      <c r="X21" s="13"/>
    </row>
    <row r="22" spans="1:24" ht="15.6">
      <c r="A22" s="8"/>
      <c r="B22" s="9"/>
      <c r="C22" s="18"/>
      <c r="D22" s="20"/>
      <c r="E22" s="12"/>
      <c r="F22" s="9"/>
      <c r="G22" s="10"/>
      <c r="H22" s="11"/>
      <c r="I22" s="12"/>
      <c r="J22" s="9"/>
      <c r="K22" s="10"/>
      <c r="L22" s="11"/>
      <c r="M22" s="17"/>
      <c r="N22" s="9"/>
      <c r="O22" s="10"/>
      <c r="P22" s="11"/>
      <c r="Q22" s="12"/>
      <c r="R22" s="9"/>
      <c r="S22" s="10"/>
      <c r="T22" s="11"/>
      <c r="U22" s="12"/>
      <c r="V22" s="9"/>
      <c r="W22" s="10"/>
      <c r="X22" s="13"/>
    </row>
    <row r="23" spans="1:24" ht="15.6">
      <c r="A23" s="8"/>
      <c r="B23" s="9"/>
      <c r="C23" s="18"/>
      <c r="D23" s="20"/>
      <c r="E23" s="12"/>
      <c r="F23" s="9"/>
      <c r="G23" s="10"/>
      <c r="H23" s="11"/>
      <c r="I23" s="12"/>
      <c r="J23" s="9"/>
      <c r="K23" s="10"/>
      <c r="L23" s="11"/>
      <c r="M23" s="17"/>
      <c r="N23" s="9"/>
      <c r="O23" s="10"/>
      <c r="P23" s="11"/>
      <c r="Q23" s="12"/>
      <c r="R23" s="9"/>
      <c r="S23" s="10"/>
      <c r="T23" s="11"/>
      <c r="U23" s="12"/>
      <c r="V23" s="9"/>
      <c r="W23" s="10"/>
      <c r="X23" s="13"/>
    </row>
    <row r="24" spans="1:24" ht="15.6">
      <c r="A24" s="8"/>
      <c r="B24" s="9"/>
      <c r="C24" s="18"/>
      <c r="D24" s="20"/>
      <c r="E24" s="12"/>
      <c r="F24" s="9"/>
      <c r="G24" s="10"/>
      <c r="H24" s="11"/>
      <c r="I24" s="12"/>
      <c r="J24" s="9"/>
      <c r="K24" s="10"/>
      <c r="L24" s="11"/>
      <c r="M24" s="17"/>
      <c r="N24" s="9"/>
      <c r="O24" s="10"/>
      <c r="P24" s="11"/>
      <c r="Q24" s="12"/>
      <c r="R24" s="9"/>
      <c r="S24" s="10"/>
      <c r="T24" s="11"/>
      <c r="U24" s="12"/>
      <c r="V24" s="9"/>
      <c r="W24" s="10"/>
      <c r="X24" s="13"/>
    </row>
    <row r="25" spans="1:24" ht="15.6">
      <c r="A25" s="8"/>
      <c r="B25" s="9"/>
      <c r="C25" s="18"/>
      <c r="D25" s="20"/>
      <c r="E25" s="12"/>
      <c r="F25" s="9"/>
      <c r="G25" s="10"/>
      <c r="H25" s="11"/>
      <c r="I25" s="12"/>
      <c r="J25" s="9"/>
      <c r="K25" s="10"/>
      <c r="L25" s="11"/>
      <c r="M25" s="17"/>
      <c r="N25" s="9"/>
      <c r="O25" s="10"/>
      <c r="P25" s="11"/>
      <c r="Q25" s="12"/>
      <c r="R25" s="9"/>
      <c r="S25" s="10"/>
      <c r="T25" s="11"/>
      <c r="U25" s="12"/>
      <c r="V25" s="9"/>
      <c r="W25" s="10"/>
      <c r="X25" s="13"/>
    </row>
    <row r="26" spans="1:24" ht="15.6">
      <c r="A26" s="8"/>
      <c r="B26" s="9"/>
      <c r="C26" s="18"/>
      <c r="D26" s="20"/>
      <c r="E26" s="12"/>
      <c r="F26" s="9"/>
      <c r="G26" s="10"/>
      <c r="H26" s="11"/>
      <c r="I26" s="12"/>
      <c r="J26" s="9"/>
      <c r="K26" s="10"/>
      <c r="L26" s="11"/>
      <c r="M26" s="17"/>
      <c r="N26" s="9"/>
      <c r="O26" s="10"/>
      <c r="P26" s="11"/>
      <c r="Q26" s="12"/>
      <c r="R26" s="9"/>
      <c r="S26" s="10"/>
      <c r="T26" s="11"/>
      <c r="U26" s="12"/>
      <c r="V26" s="9"/>
      <c r="W26" s="10"/>
      <c r="X26" s="13"/>
    </row>
    <row r="27" spans="1:24" ht="15.6">
      <c r="A27" s="8"/>
      <c r="B27" s="9"/>
      <c r="C27" s="18"/>
      <c r="D27" s="20"/>
      <c r="E27" s="12"/>
      <c r="F27" s="9"/>
      <c r="G27" s="10"/>
      <c r="H27" s="11"/>
      <c r="I27" s="12"/>
      <c r="J27" s="9"/>
      <c r="K27" s="10"/>
      <c r="L27" s="11"/>
      <c r="M27" s="17"/>
      <c r="N27" s="9"/>
      <c r="O27" s="10"/>
      <c r="P27" s="11"/>
      <c r="Q27" s="12"/>
      <c r="R27" s="9"/>
      <c r="S27" s="10"/>
      <c r="T27" s="11"/>
      <c r="U27" s="12"/>
      <c r="V27" s="9"/>
      <c r="W27" s="10"/>
      <c r="X27" s="13"/>
    </row>
    <row r="28" spans="1:24" ht="15.6">
      <c r="A28" s="8"/>
      <c r="B28" s="9"/>
      <c r="C28" s="18"/>
      <c r="D28" s="20"/>
      <c r="E28" s="12"/>
      <c r="F28" s="9"/>
      <c r="G28" s="10"/>
      <c r="H28" s="11"/>
      <c r="I28" s="12"/>
      <c r="J28" s="9"/>
      <c r="K28" s="10"/>
      <c r="L28" s="11"/>
      <c r="M28" s="17"/>
      <c r="N28" s="9"/>
      <c r="O28" s="10"/>
      <c r="P28" s="11"/>
      <c r="Q28" s="12"/>
      <c r="R28" s="9"/>
      <c r="S28" s="10"/>
      <c r="T28" s="11"/>
      <c r="U28" s="12"/>
      <c r="V28" s="9"/>
      <c r="W28" s="10"/>
      <c r="X28" s="13"/>
    </row>
    <row r="29" spans="1:24" ht="15.6">
      <c r="A29" s="8"/>
      <c r="B29" s="9"/>
      <c r="C29" s="18"/>
      <c r="D29" s="20"/>
      <c r="E29" s="12"/>
      <c r="F29" s="9"/>
      <c r="G29" s="10"/>
      <c r="H29" s="11"/>
      <c r="I29" s="12"/>
      <c r="J29" s="9"/>
      <c r="K29" s="10"/>
      <c r="L29" s="11"/>
      <c r="M29" s="17"/>
      <c r="N29" s="9"/>
      <c r="O29" s="10"/>
      <c r="P29" s="11"/>
      <c r="Q29" s="12"/>
      <c r="R29" s="9"/>
      <c r="S29" s="10"/>
      <c r="T29" s="11"/>
      <c r="U29" s="12"/>
      <c r="V29" s="9"/>
      <c r="W29" s="10"/>
      <c r="X29" s="13"/>
    </row>
    <row r="30" spans="1:24" ht="15.6">
      <c r="A30" s="8"/>
      <c r="B30" s="9"/>
      <c r="C30" s="18"/>
      <c r="D30" s="20"/>
      <c r="E30" s="12"/>
      <c r="F30" s="9"/>
      <c r="G30" s="10"/>
      <c r="H30" s="11"/>
      <c r="I30" s="12"/>
      <c r="J30" s="9"/>
      <c r="K30" s="10"/>
      <c r="L30" s="11"/>
      <c r="M30" s="17"/>
      <c r="N30" s="9"/>
      <c r="O30" s="10"/>
      <c r="P30" s="11"/>
      <c r="Q30" s="12"/>
      <c r="R30" s="9"/>
      <c r="S30" s="10"/>
      <c r="T30" s="11"/>
      <c r="U30" s="12"/>
      <c r="V30" s="9"/>
      <c r="W30" s="10"/>
      <c r="X30" s="13"/>
    </row>
    <row r="31" spans="1:24" ht="15.6">
      <c r="A31" s="8"/>
      <c r="B31" s="9"/>
      <c r="C31" s="18"/>
      <c r="D31" s="20"/>
      <c r="E31" s="12"/>
      <c r="F31" s="9"/>
      <c r="G31" s="10"/>
      <c r="H31" s="11"/>
      <c r="I31" s="12"/>
      <c r="J31" s="9"/>
      <c r="K31" s="10"/>
      <c r="L31" s="11"/>
      <c r="M31" s="17"/>
      <c r="N31" s="9"/>
      <c r="O31" s="10"/>
      <c r="P31" s="11"/>
      <c r="Q31" s="12"/>
      <c r="R31" s="9"/>
      <c r="S31" s="10"/>
      <c r="T31" s="11"/>
      <c r="U31" s="12"/>
      <c r="V31" s="9"/>
      <c r="W31" s="10"/>
      <c r="X31" s="13"/>
    </row>
    <row r="32" spans="1:24" ht="15.6">
      <c r="A32" s="8"/>
      <c r="B32" s="9"/>
      <c r="C32" s="18"/>
      <c r="D32" s="20"/>
      <c r="E32" s="12"/>
      <c r="F32" s="9"/>
      <c r="G32" s="10"/>
      <c r="H32" s="11"/>
      <c r="I32" s="12"/>
      <c r="J32" s="9"/>
      <c r="K32" s="10"/>
      <c r="L32" s="11"/>
      <c r="M32" s="17"/>
      <c r="N32" s="9"/>
      <c r="O32" s="10"/>
      <c r="P32" s="11"/>
      <c r="Q32" s="12"/>
      <c r="R32" s="9"/>
      <c r="S32" s="10"/>
      <c r="T32" s="11"/>
      <c r="U32" s="12"/>
      <c r="V32" s="9"/>
      <c r="W32" s="10"/>
      <c r="X32" s="13"/>
    </row>
    <row r="33" spans="1:24" ht="15.6">
      <c r="A33" s="8"/>
      <c r="B33" s="9"/>
      <c r="C33" s="18"/>
      <c r="D33" s="20"/>
      <c r="E33" s="12"/>
      <c r="F33" s="9"/>
      <c r="G33" s="10"/>
      <c r="H33" s="11"/>
      <c r="I33" s="12"/>
      <c r="J33" s="9"/>
      <c r="K33" s="10"/>
      <c r="L33" s="11"/>
      <c r="M33" s="17"/>
      <c r="N33" s="9"/>
      <c r="O33" s="10"/>
      <c r="P33" s="11"/>
      <c r="Q33" s="12"/>
      <c r="R33" s="9"/>
      <c r="S33" s="10"/>
      <c r="T33" s="11"/>
      <c r="U33" s="12"/>
      <c r="V33" s="9"/>
      <c r="W33" s="10"/>
      <c r="X33" s="13"/>
    </row>
    <row r="34" spans="1:24" ht="15.6">
      <c r="A34" s="8"/>
      <c r="B34" s="9"/>
      <c r="C34" s="18"/>
      <c r="D34" s="20"/>
      <c r="E34" s="12"/>
      <c r="F34" s="9"/>
      <c r="G34" s="10"/>
      <c r="H34" s="11"/>
      <c r="I34" s="12"/>
      <c r="J34" s="9"/>
      <c r="K34" s="10"/>
      <c r="L34" s="11"/>
      <c r="M34" s="17"/>
      <c r="N34" s="9"/>
      <c r="O34" s="10"/>
      <c r="P34" s="11"/>
      <c r="Q34" s="12"/>
      <c r="R34" s="9"/>
      <c r="S34" s="10"/>
      <c r="T34" s="11"/>
      <c r="U34" s="12"/>
      <c r="V34" s="9"/>
      <c r="W34" s="10"/>
      <c r="X34" s="13"/>
    </row>
    <row r="35" spans="1:24" ht="15.6">
      <c r="A35" s="8"/>
      <c r="B35" s="9"/>
      <c r="C35" s="18"/>
      <c r="D35" s="20"/>
      <c r="E35" s="12"/>
      <c r="F35" s="9"/>
      <c r="G35" s="10"/>
      <c r="H35" s="11"/>
      <c r="I35" s="12"/>
      <c r="J35" s="9"/>
      <c r="K35" s="10"/>
      <c r="L35" s="11"/>
      <c r="M35" s="17"/>
      <c r="N35" s="9"/>
      <c r="O35" s="10"/>
      <c r="P35" s="11"/>
      <c r="Q35" s="12"/>
      <c r="R35" s="9"/>
      <c r="S35" s="10"/>
      <c r="T35" s="11"/>
      <c r="U35" s="12"/>
      <c r="V35" s="9"/>
      <c r="W35" s="10"/>
      <c r="X35" s="13"/>
    </row>
    <row r="36" spans="1:24" ht="15.6">
      <c r="A36" s="8"/>
      <c r="B36" s="9"/>
      <c r="C36" s="18"/>
      <c r="D36" s="20"/>
      <c r="E36" s="12"/>
      <c r="F36" s="9"/>
      <c r="G36" s="10"/>
      <c r="H36" s="11"/>
      <c r="I36" s="12"/>
      <c r="J36" s="9"/>
      <c r="K36" s="10"/>
      <c r="L36" s="11"/>
      <c r="M36" s="17"/>
      <c r="N36" s="9"/>
      <c r="O36" s="10"/>
      <c r="P36" s="11"/>
      <c r="Q36" s="12"/>
      <c r="R36" s="9"/>
      <c r="S36" s="10"/>
      <c r="T36" s="11"/>
      <c r="U36" s="12"/>
      <c r="V36" s="9"/>
      <c r="W36" s="10"/>
      <c r="X36" s="13"/>
    </row>
    <row r="37" spans="1:24" ht="15.6">
      <c r="A37" s="8"/>
      <c r="B37" s="9"/>
      <c r="C37" s="18"/>
      <c r="D37" s="20"/>
      <c r="E37" s="12"/>
      <c r="F37" s="9"/>
      <c r="G37" s="10"/>
      <c r="H37" s="11"/>
      <c r="I37" s="12"/>
      <c r="J37" s="9"/>
      <c r="K37" s="10"/>
      <c r="L37" s="11"/>
      <c r="M37" s="17"/>
      <c r="N37" s="9"/>
      <c r="O37" s="10"/>
      <c r="P37" s="11"/>
      <c r="Q37" s="12"/>
      <c r="R37" s="9"/>
      <c r="S37" s="10"/>
      <c r="T37" s="11"/>
      <c r="U37" s="12"/>
      <c r="V37" s="9"/>
      <c r="W37" s="10"/>
      <c r="X37" s="13"/>
    </row>
    <row r="38" spans="1:24" ht="15.6">
      <c r="A38" s="8"/>
      <c r="B38" s="9"/>
      <c r="C38" s="18"/>
      <c r="D38" s="20"/>
      <c r="E38" s="12"/>
      <c r="F38" s="9"/>
      <c r="G38" s="10"/>
      <c r="H38" s="11"/>
      <c r="I38" s="12"/>
      <c r="J38" s="9"/>
      <c r="K38" s="10"/>
      <c r="L38" s="11"/>
      <c r="M38" s="17"/>
      <c r="N38" s="9"/>
      <c r="O38" s="10"/>
      <c r="P38" s="11"/>
      <c r="Q38" s="12"/>
      <c r="R38" s="9"/>
      <c r="S38" s="10"/>
      <c r="T38" s="11"/>
      <c r="U38" s="12"/>
      <c r="V38" s="9"/>
      <c r="W38" s="10"/>
      <c r="X38" s="13"/>
    </row>
    <row r="39" spans="1:24" ht="15.6">
      <c r="A39" s="8"/>
      <c r="B39" s="9"/>
      <c r="C39" s="18"/>
      <c r="D39" s="20"/>
      <c r="E39" s="12"/>
      <c r="F39" s="9"/>
      <c r="G39" s="10"/>
      <c r="H39" s="11"/>
      <c r="I39" s="12"/>
      <c r="J39" s="9"/>
      <c r="K39" s="10"/>
      <c r="L39" s="11"/>
      <c r="M39" s="17"/>
      <c r="N39" s="9"/>
      <c r="O39" s="10"/>
      <c r="P39" s="11"/>
      <c r="Q39" s="12"/>
      <c r="R39" s="9"/>
      <c r="S39" s="10"/>
      <c r="T39" s="11"/>
      <c r="U39" s="12"/>
      <c r="V39" s="9"/>
      <c r="W39" s="10"/>
      <c r="X39" s="13"/>
    </row>
    <row r="40" spans="1:24" ht="15.6">
      <c r="A40" s="8"/>
      <c r="B40" s="9"/>
      <c r="C40" s="18"/>
      <c r="D40" s="20"/>
      <c r="E40" s="12"/>
      <c r="F40" s="9"/>
      <c r="G40" s="10"/>
      <c r="H40" s="11"/>
      <c r="I40" s="12"/>
      <c r="J40" s="9"/>
      <c r="K40" s="10"/>
      <c r="L40" s="11"/>
      <c r="M40" s="17"/>
      <c r="N40" s="9"/>
      <c r="O40" s="10"/>
      <c r="P40" s="11"/>
      <c r="Q40" s="12"/>
      <c r="R40" s="9"/>
      <c r="S40" s="10"/>
      <c r="T40" s="11"/>
      <c r="U40" s="12"/>
      <c r="V40" s="9"/>
      <c r="W40" s="10"/>
      <c r="X40" s="13"/>
    </row>
    <row r="41" spans="1:24" ht="15.6">
      <c r="A41" s="8"/>
      <c r="B41" s="9"/>
      <c r="C41" s="18"/>
      <c r="D41" s="20"/>
      <c r="E41" s="12"/>
      <c r="F41" s="9"/>
      <c r="G41" s="10"/>
      <c r="H41" s="11"/>
      <c r="I41" s="12"/>
      <c r="J41" s="9"/>
      <c r="K41" s="10"/>
      <c r="L41" s="11"/>
      <c r="M41" s="17"/>
      <c r="N41" s="9"/>
      <c r="O41" s="10"/>
      <c r="P41" s="11"/>
      <c r="Q41" s="12"/>
      <c r="R41" s="9"/>
      <c r="S41" s="10"/>
      <c r="T41" s="11"/>
      <c r="U41" s="12"/>
      <c r="V41" s="9"/>
      <c r="W41" s="10"/>
      <c r="X41" s="13"/>
    </row>
    <row r="42" spans="1:24" ht="15.6">
      <c r="A42" s="8"/>
      <c r="B42" s="9"/>
      <c r="C42" s="18"/>
      <c r="D42" s="20"/>
      <c r="E42" s="12"/>
      <c r="F42" s="9"/>
      <c r="G42" s="10"/>
      <c r="H42" s="11"/>
      <c r="I42" s="12"/>
      <c r="J42" s="9"/>
      <c r="K42" s="10"/>
      <c r="L42" s="11"/>
      <c r="M42" s="17"/>
      <c r="N42" s="9"/>
      <c r="O42" s="10"/>
      <c r="P42" s="11"/>
      <c r="Q42" s="12"/>
      <c r="R42" s="9"/>
      <c r="S42" s="10"/>
      <c r="T42" s="11"/>
      <c r="U42" s="12"/>
      <c r="V42" s="9"/>
      <c r="W42" s="10"/>
      <c r="X42" s="13"/>
    </row>
    <row r="43" spans="1:24" ht="15.6">
      <c r="A43" s="8"/>
      <c r="B43" s="9"/>
      <c r="C43" s="18"/>
      <c r="D43" s="20"/>
      <c r="E43" s="12"/>
      <c r="F43" s="9"/>
      <c r="G43" s="10"/>
      <c r="H43" s="11"/>
      <c r="I43" s="12"/>
      <c r="J43" s="9"/>
      <c r="K43" s="10"/>
      <c r="L43" s="11"/>
      <c r="M43" s="17"/>
      <c r="N43" s="9"/>
      <c r="O43" s="10"/>
      <c r="P43" s="11"/>
      <c r="Q43" s="12"/>
      <c r="R43" s="9"/>
      <c r="S43" s="10"/>
      <c r="T43" s="11"/>
      <c r="U43" s="12"/>
      <c r="V43" s="9"/>
      <c r="W43" s="10"/>
      <c r="X43" s="13"/>
    </row>
    <row r="44" spans="1:24" ht="15.6">
      <c r="A44" s="8"/>
      <c r="B44" s="9"/>
      <c r="C44" s="18"/>
      <c r="D44" s="20"/>
      <c r="E44" s="12"/>
      <c r="F44" s="9"/>
      <c r="G44" s="10"/>
      <c r="H44" s="11"/>
      <c r="I44" s="12"/>
      <c r="J44" s="9"/>
      <c r="K44" s="10"/>
      <c r="L44" s="11"/>
      <c r="M44" s="17"/>
      <c r="N44" s="9"/>
      <c r="O44" s="10"/>
      <c r="P44" s="11"/>
      <c r="Q44" s="12"/>
      <c r="R44" s="9"/>
      <c r="S44" s="10"/>
      <c r="T44" s="11"/>
      <c r="U44" s="12"/>
      <c r="V44" s="9"/>
      <c r="W44" s="10"/>
      <c r="X44" s="13"/>
    </row>
    <row r="45" spans="1:24" ht="15.6">
      <c r="A45" s="8"/>
      <c r="B45" s="9"/>
      <c r="C45" s="18"/>
      <c r="D45" s="20"/>
      <c r="E45" s="12"/>
      <c r="F45" s="9"/>
      <c r="G45" s="10"/>
      <c r="H45" s="11"/>
      <c r="I45" s="12"/>
      <c r="J45" s="9"/>
      <c r="K45" s="10"/>
      <c r="L45" s="11"/>
      <c r="M45" s="17"/>
      <c r="N45" s="9"/>
      <c r="O45" s="10"/>
      <c r="P45" s="11"/>
      <c r="Q45" s="12"/>
      <c r="R45" s="9"/>
      <c r="S45" s="10"/>
      <c r="T45" s="11"/>
      <c r="U45" s="12"/>
      <c r="V45" s="9"/>
      <c r="W45" s="10"/>
      <c r="X45" s="13"/>
    </row>
    <row r="46" spans="1:24" ht="15.6">
      <c r="A46" s="8"/>
      <c r="B46" s="9"/>
      <c r="C46" s="18"/>
      <c r="D46" s="20"/>
      <c r="E46" s="12"/>
      <c r="F46" s="9"/>
      <c r="G46" s="10"/>
      <c r="H46" s="11"/>
      <c r="I46" s="12"/>
      <c r="J46" s="9"/>
      <c r="K46" s="10"/>
      <c r="L46" s="11"/>
      <c r="M46" s="17"/>
      <c r="N46" s="9"/>
      <c r="O46" s="10"/>
      <c r="P46" s="11"/>
      <c r="Q46" s="12"/>
      <c r="R46" s="9"/>
      <c r="S46" s="10"/>
      <c r="T46" s="11"/>
      <c r="U46" s="12"/>
      <c r="V46" s="9"/>
      <c r="W46" s="10"/>
      <c r="X46" s="13"/>
    </row>
    <row r="47" spans="1:24" ht="15.6">
      <c r="A47" s="8"/>
      <c r="B47" s="9"/>
      <c r="C47" s="18"/>
      <c r="D47" s="20"/>
      <c r="E47" s="12"/>
      <c r="F47" s="9"/>
      <c r="G47" s="10"/>
      <c r="H47" s="11"/>
      <c r="I47" s="12"/>
      <c r="J47" s="9"/>
      <c r="K47" s="10"/>
      <c r="L47" s="11"/>
      <c r="M47" s="17"/>
      <c r="N47" s="9"/>
      <c r="O47" s="10"/>
      <c r="P47" s="11"/>
      <c r="Q47" s="12"/>
      <c r="R47" s="9"/>
      <c r="S47" s="10"/>
      <c r="T47" s="11"/>
      <c r="U47" s="12"/>
      <c r="V47" s="9"/>
      <c r="W47" s="10"/>
      <c r="X47" s="13"/>
    </row>
    <row r="48" spans="1:24" ht="15.6">
      <c r="A48" s="8"/>
      <c r="B48" s="9"/>
      <c r="C48" s="18"/>
      <c r="D48" s="20"/>
      <c r="E48" s="12"/>
      <c r="F48" s="9"/>
      <c r="G48" s="10"/>
      <c r="H48" s="11"/>
      <c r="I48" s="12"/>
      <c r="J48" s="9"/>
      <c r="K48" s="10"/>
      <c r="L48" s="11"/>
      <c r="M48" s="17"/>
      <c r="N48" s="9"/>
      <c r="O48" s="10"/>
      <c r="P48" s="11"/>
      <c r="Q48" s="12"/>
      <c r="R48" s="9"/>
      <c r="S48" s="10"/>
      <c r="T48" s="11"/>
      <c r="U48" s="12"/>
      <c r="V48" s="9"/>
      <c r="W48" s="10"/>
      <c r="X48" s="13"/>
    </row>
    <row r="49" spans="1:24" ht="15.6">
      <c r="A49" s="8"/>
      <c r="B49" s="9"/>
      <c r="C49" s="18"/>
      <c r="D49" s="20"/>
      <c r="E49" s="12"/>
      <c r="F49" s="9"/>
      <c r="G49" s="10"/>
      <c r="H49" s="11"/>
      <c r="I49" s="12"/>
      <c r="J49" s="9"/>
      <c r="K49" s="10"/>
      <c r="L49" s="11"/>
      <c r="M49" s="17"/>
      <c r="N49" s="9"/>
      <c r="O49" s="10"/>
      <c r="P49" s="11"/>
      <c r="Q49" s="12"/>
      <c r="R49" s="9"/>
      <c r="S49" s="10"/>
      <c r="T49" s="11"/>
      <c r="U49" s="12"/>
      <c r="V49" s="9"/>
      <c r="W49" s="10"/>
      <c r="X49" s="13"/>
    </row>
    <row r="50" spans="1:24" ht="15.6">
      <c r="A50" s="8"/>
      <c r="B50" s="9"/>
      <c r="C50" s="18"/>
      <c r="D50" s="20"/>
      <c r="E50" s="12"/>
      <c r="F50" s="9"/>
      <c r="G50" s="10"/>
      <c r="H50" s="11"/>
      <c r="I50" s="12"/>
      <c r="J50" s="9"/>
      <c r="K50" s="10"/>
      <c r="L50" s="11"/>
      <c r="M50" s="17"/>
      <c r="N50" s="9"/>
      <c r="O50" s="10"/>
      <c r="P50" s="11"/>
      <c r="Q50" s="12"/>
      <c r="R50" s="9"/>
      <c r="S50" s="10"/>
      <c r="T50" s="11"/>
      <c r="U50" s="12"/>
      <c r="V50" s="9"/>
      <c r="W50" s="10"/>
      <c r="X50" s="13"/>
    </row>
    <row r="51" spans="1:24" ht="15.6">
      <c r="A51" s="8"/>
      <c r="B51" s="9"/>
      <c r="C51" s="18"/>
      <c r="D51" s="20"/>
      <c r="E51" s="12"/>
      <c r="F51" s="9"/>
      <c r="G51" s="10"/>
      <c r="H51" s="11"/>
      <c r="I51" s="12"/>
      <c r="J51" s="9"/>
      <c r="K51" s="10"/>
      <c r="L51" s="11"/>
      <c r="M51" s="17"/>
      <c r="N51" s="9"/>
      <c r="O51" s="10"/>
      <c r="P51" s="11"/>
      <c r="Q51" s="12"/>
      <c r="R51" s="9"/>
      <c r="S51" s="10"/>
      <c r="T51" s="11"/>
      <c r="U51" s="12"/>
      <c r="V51" s="9"/>
      <c r="W51" s="10"/>
      <c r="X51" s="13"/>
    </row>
    <row r="52" spans="1:24" ht="15.6">
      <c r="A52" s="8"/>
      <c r="B52" s="9"/>
      <c r="C52" s="18"/>
      <c r="D52" s="20"/>
      <c r="E52" s="12"/>
      <c r="F52" s="9"/>
      <c r="G52" s="10"/>
      <c r="H52" s="11"/>
      <c r="I52" s="12"/>
      <c r="J52" s="9"/>
      <c r="K52" s="10"/>
      <c r="L52" s="11"/>
      <c r="M52" s="17"/>
      <c r="N52" s="9"/>
      <c r="O52" s="10"/>
      <c r="P52" s="11"/>
      <c r="Q52" s="12"/>
      <c r="R52" s="9"/>
      <c r="S52" s="10"/>
      <c r="T52" s="11"/>
      <c r="U52" s="12"/>
      <c r="V52" s="9"/>
      <c r="W52" s="10"/>
      <c r="X52" s="13"/>
    </row>
    <row r="53" spans="1:24" ht="15.6">
      <c r="A53" s="8"/>
      <c r="B53" s="9"/>
      <c r="C53" s="18"/>
      <c r="D53" s="20"/>
      <c r="E53" s="12"/>
      <c r="F53" s="9"/>
      <c r="G53" s="10"/>
      <c r="H53" s="11"/>
      <c r="I53" s="12"/>
      <c r="J53" s="9"/>
      <c r="K53" s="10"/>
      <c r="L53" s="11"/>
      <c r="M53" s="17"/>
      <c r="N53" s="9"/>
      <c r="O53" s="10"/>
      <c r="P53" s="11"/>
      <c r="Q53" s="12"/>
      <c r="R53" s="9"/>
      <c r="S53" s="10"/>
      <c r="T53" s="11"/>
      <c r="U53" s="12"/>
      <c r="V53" s="9"/>
      <c r="W53" s="10"/>
      <c r="X53" s="13"/>
    </row>
    <row r="54" spans="1:24" ht="15.6">
      <c r="A54" s="8"/>
      <c r="B54" s="9"/>
      <c r="C54" s="18"/>
      <c r="D54" s="20"/>
      <c r="E54" s="12"/>
      <c r="F54" s="9"/>
      <c r="G54" s="10"/>
      <c r="H54" s="11"/>
      <c r="I54" s="12"/>
      <c r="J54" s="9"/>
      <c r="K54" s="10"/>
      <c r="L54" s="11"/>
      <c r="M54" s="17"/>
      <c r="N54" s="9"/>
      <c r="O54" s="10"/>
      <c r="P54" s="11"/>
      <c r="Q54" s="12"/>
      <c r="R54" s="9"/>
      <c r="S54" s="10"/>
      <c r="T54" s="11"/>
      <c r="U54" s="12"/>
      <c r="V54" s="9"/>
      <c r="W54" s="10"/>
      <c r="X54" s="13"/>
    </row>
    <row r="55" spans="1:24" ht="15.6">
      <c r="A55" s="8"/>
      <c r="B55" s="9"/>
      <c r="C55" s="18"/>
      <c r="D55" s="11"/>
      <c r="E55" s="12"/>
      <c r="F55" s="9"/>
      <c r="G55" s="10"/>
      <c r="H55" s="11"/>
      <c r="I55" s="12"/>
      <c r="J55" s="9"/>
      <c r="K55" s="10"/>
      <c r="L55" s="11"/>
      <c r="M55" s="17"/>
      <c r="N55" s="9"/>
      <c r="O55" s="10"/>
      <c r="P55" s="11"/>
      <c r="Q55" s="12"/>
      <c r="R55" s="9"/>
      <c r="S55" s="10"/>
      <c r="T55" s="11"/>
      <c r="U55" s="12"/>
      <c r="V55" s="9"/>
      <c r="W55" s="10"/>
      <c r="X55" s="13"/>
    </row>
    <row r="56" spans="1:24" ht="15.6">
      <c r="A56" s="8"/>
      <c r="B56" s="9"/>
      <c r="C56" s="18"/>
      <c r="D56" s="11"/>
      <c r="E56" s="12"/>
      <c r="F56" s="9"/>
      <c r="G56" s="10"/>
      <c r="H56" s="11"/>
      <c r="I56" s="12"/>
      <c r="J56" s="9"/>
      <c r="K56" s="10"/>
      <c r="L56" s="11"/>
      <c r="M56" s="17"/>
      <c r="N56" s="9"/>
      <c r="O56" s="10"/>
      <c r="P56" s="11"/>
      <c r="Q56" s="12"/>
      <c r="R56" s="9"/>
      <c r="S56" s="10"/>
      <c r="T56" s="11"/>
      <c r="U56" s="12"/>
      <c r="V56" s="9"/>
      <c r="W56" s="10"/>
      <c r="X56" s="13"/>
    </row>
    <row r="57" spans="1:24" ht="15.6">
      <c r="A57" s="8"/>
      <c r="B57" s="9"/>
      <c r="C57" s="18"/>
      <c r="D57" s="11"/>
      <c r="E57" s="12"/>
      <c r="F57" s="9"/>
      <c r="G57" s="10"/>
      <c r="H57" s="11"/>
      <c r="I57" s="12"/>
      <c r="J57" s="9"/>
      <c r="K57" s="10"/>
      <c r="L57" s="11"/>
      <c r="M57" s="17"/>
      <c r="N57" s="9"/>
      <c r="O57" s="10"/>
      <c r="P57" s="11"/>
      <c r="Q57" s="12"/>
      <c r="R57" s="9"/>
      <c r="S57" s="10"/>
      <c r="T57" s="11"/>
      <c r="U57" s="12"/>
      <c r="V57" s="9"/>
      <c r="W57" s="10"/>
      <c r="X57" s="13"/>
    </row>
    <row r="58" spans="1:24" ht="15.6">
      <c r="A58" s="8"/>
      <c r="B58" s="9"/>
      <c r="C58" s="18"/>
      <c r="D58" s="11"/>
      <c r="E58" s="12"/>
      <c r="F58" s="9"/>
      <c r="G58" s="10"/>
      <c r="H58" s="11"/>
      <c r="I58" s="12"/>
      <c r="J58" s="9"/>
      <c r="K58" s="10"/>
      <c r="L58" s="11"/>
      <c r="M58" s="17"/>
      <c r="N58" s="9"/>
      <c r="O58" s="10"/>
      <c r="P58" s="11"/>
      <c r="Q58" s="12"/>
      <c r="R58" s="9"/>
      <c r="S58" s="10"/>
      <c r="T58" s="11"/>
      <c r="U58" s="12"/>
      <c r="V58" s="9"/>
      <c r="W58" s="10"/>
      <c r="X58" s="13"/>
    </row>
    <row r="59" spans="1:24" ht="15.6">
      <c r="A59" s="8"/>
      <c r="B59" s="9"/>
      <c r="C59" s="10"/>
      <c r="D59" s="11"/>
      <c r="E59" s="12"/>
      <c r="F59" s="9"/>
      <c r="G59" s="10"/>
      <c r="H59" s="11"/>
      <c r="I59" s="12"/>
      <c r="J59" s="9"/>
      <c r="K59" s="10"/>
      <c r="L59" s="11"/>
      <c r="M59" s="12"/>
      <c r="N59" s="9"/>
      <c r="O59" s="10"/>
      <c r="P59" s="11"/>
      <c r="Q59" s="12"/>
      <c r="R59" s="9"/>
      <c r="S59" s="10"/>
      <c r="T59" s="11"/>
      <c r="U59" s="12"/>
      <c r="V59" s="9"/>
      <c r="W59" s="10"/>
      <c r="X59" s="13"/>
    </row>
    <row r="60" spans="1:24" ht="16.2" thickBot="1">
      <c r="A60" s="31" t="s">
        <v>16</v>
      </c>
      <c r="B60" s="32">
        <f>SUM(B12:B59)</f>
        <v>0</v>
      </c>
      <c r="C60" s="33" t="str">
        <f>A60</f>
        <v>Summe -</v>
      </c>
      <c r="D60" s="34">
        <f>SUM(D12:D59)</f>
        <v>0</v>
      </c>
      <c r="E60" s="35" t="str">
        <f>A60</f>
        <v>Summe -</v>
      </c>
      <c r="F60" s="32">
        <f>SUM(F12:F59)</f>
        <v>0</v>
      </c>
      <c r="G60" s="33" t="str">
        <f>A60</f>
        <v>Summe -</v>
      </c>
      <c r="H60" s="34">
        <f>SUM(H12:H59)</f>
        <v>0</v>
      </c>
      <c r="I60" s="35" t="str">
        <f>A60</f>
        <v>Summe -</v>
      </c>
      <c r="J60" s="32">
        <f>SUM(J12:J59)</f>
        <v>0</v>
      </c>
      <c r="K60" s="33" t="str">
        <f>A60</f>
        <v>Summe -</v>
      </c>
      <c r="L60" s="34">
        <f>SUM(L12:L59)</f>
        <v>-913.79</v>
      </c>
      <c r="M60" s="35" t="str">
        <f>A60</f>
        <v>Summe -</v>
      </c>
      <c r="N60" s="32">
        <f>SUM(N12:N59)</f>
        <v>-786.56000000000006</v>
      </c>
      <c r="O60" s="33" t="str">
        <f>A60</f>
        <v>Summe -</v>
      </c>
      <c r="P60" s="34">
        <f>SUM(P12:P59)</f>
        <v>-114.23</v>
      </c>
      <c r="Q60" s="35" t="str">
        <f>A60</f>
        <v>Summe -</v>
      </c>
      <c r="R60" s="32">
        <f>SUM(R12:R59)</f>
        <v>0</v>
      </c>
      <c r="S60" s="33" t="str">
        <f>A60</f>
        <v>Summe -</v>
      </c>
      <c r="T60" s="34">
        <f>SUM(T12:T59)</f>
        <v>0</v>
      </c>
      <c r="U60" s="35" t="str">
        <f>A60</f>
        <v>Summe -</v>
      </c>
      <c r="V60" s="32">
        <f>SUM(V12:V59)</f>
        <v>0</v>
      </c>
      <c r="W60" s="33" t="str">
        <f>A60</f>
        <v>Summe -</v>
      </c>
      <c r="X60" s="36">
        <f>SUM(X12:X59)</f>
        <v>0</v>
      </c>
    </row>
    <row r="61" spans="1:24" ht="15.6">
      <c r="A61" s="8"/>
      <c r="B61" s="21"/>
      <c r="C61" s="10"/>
      <c r="D61" s="22"/>
      <c r="E61" s="12"/>
      <c r="F61" s="21"/>
      <c r="G61" s="10"/>
      <c r="H61" s="22"/>
      <c r="I61" s="12"/>
      <c r="J61" s="21"/>
      <c r="K61" s="10"/>
      <c r="L61" s="54">
        <f>550+0.41+9+10+480+10</f>
        <v>1059.4099999999999</v>
      </c>
      <c r="M61" s="12"/>
      <c r="N61" s="55">
        <f>0.47+16.99+415+1925.46+60</f>
        <v>2417.92</v>
      </c>
      <c r="O61" s="10"/>
      <c r="P61" s="54">
        <f>415+21.98+500</f>
        <v>936.98</v>
      </c>
      <c r="Q61" s="12"/>
      <c r="R61" s="21"/>
      <c r="S61" s="10"/>
      <c r="T61" s="22"/>
      <c r="U61" s="12"/>
      <c r="V61" s="21"/>
      <c r="W61" s="10"/>
      <c r="X61" s="23"/>
    </row>
    <row r="62" spans="1:24" ht="15.6">
      <c r="A62" s="8"/>
      <c r="B62" s="21"/>
      <c r="C62" s="10"/>
      <c r="D62" s="22"/>
      <c r="E62" s="12"/>
      <c r="F62" s="21"/>
      <c r="G62" s="10"/>
      <c r="H62" s="22"/>
      <c r="I62" s="12"/>
      <c r="J62" s="21"/>
      <c r="K62" s="10"/>
      <c r="L62" s="22"/>
      <c r="M62" s="12"/>
      <c r="N62" s="21"/>
      <c r="O62" s="10"/>
      <c r="P62" s="22"/>
      <c r="Q62" s="12"/>
      <c r="R62" s="21"/>
      <c r="S62" s="10"/>
      <c r="T62" s="22"/>
      <c r="U62" s="12"/>
      <c r="V62" s="21"/>
      <c r="W62" s="10"/>
      <c r="X62" s="23"/>
    </row>
    <row r="63" spans="1:24" ht="15.6">
      <c r="A63" s="8"/>
      <c r="B63" s="21"/>
      <c r="C63" s="10"/>
      <c r="D63" s="22"/>
      <c r="E63" s="12"/>
      <c r="F63" s="21"/>
      <c r="G63" s="10"/>
      <c r="H63" s="22"/>
      <c r="I63" s="12"/>
      <c r="J63" s="21"/>
      <c r="K63" s="10"/>
      <c r="L63" s="22"/>
      <c r="M63" s="12"/>
      <c r="N63" s="21"/>
      <c r="O63" s="10"/>
      <c r="P63" s="22"/>
      <c r="Q63" s="12"/>
      <c r="R63" s="21"/>
      <c r="S63" s="10"/>
      <c r="T63" s="22"/>
      <c r="U63" s="12"/>
      <c r="V63" s="21"/>
      <c r="W63" s="10"/>
      <c r="X63" s="23"/>
    </row>
    <row r="64" spans="1:24" ht="15.6">
      <c r="A64" s="8"/>
      <c r="B64" s="21"/>
      <c r="C64" s="10"/>
      <c r="D64" s="22"/>
      <c r="E64" s="12"/>
      <c r="F64" s="21"/>
      <c r="G64" s="10"/>
      <c r="H64" s="22"/>
      <c r="I64" s="12"/>
      <c r="J64" s="21"/>
      <c r="K64" s="10"/>
      <c r="L64" s="22"/>
      <c r="M64" s="12"/>
      <c r="N64" s="21"/>
      <c r="O64" s="10"/>
      <c r="P64" s="22"/>
      <c r="Q64" s="12"/>
      <c r="R64" s="21"/>
      <c r="S64" s="10"/>
      <c r="T64" s="22"/>
      <c r="U64" s="12"/>
      <c r="V64" s="21"/>
      <c r="W64" s="10"/>
      <c r="X64" s="23"/>
    </row>
    <row r="65" spans="1:24" ht="15.6">
      <c r="A65" s="8"/>
      <c r="B65" s="21"/>
      <c r="C65" s="10"/>
      <c r="D65" s="22"/>
      <c r="E65" s="12"/>
      <c r="F65" s="21"/>
      <c r="G65" s="10"/>
      <c r="H65" s="22"/>
      <c r="I65" s="12"/>
      <c r="J65" s="21"/>
      <c r="K65" s="10"/>
      <c r="L65" s="22"/>
      <c r="M65" s="12"/>
      <c r="N65" s="21"/>
      <c r="O65" s="10"/>
      <c r="P65" s="22"/>
      <c r="Q65" s="12"/>
      <c r="R65" s="21"/>
      <c r="S65" s="10"/>
      <c r="T65" s="22"/>
      <c r="U65" s="12"/>
      <c r="V65" s="21"/>
      <c r="W65" s="10"/>
      <c r="X65" s="23"/>
    </row>
    <row r="66" spans="1:24" ht="15.6">
      <c r="A66" s="8"/>
      <c r="B66" s="21"/>
      <c r="C66" s="10"/>
      <c r="D66" s="22"/>
      <c r="E66" s="12"/>
      <c r="F66" s="21"/>
      <c r="G66" s="10"/>
      <c r="H66" s="22"/>
      <c r="I66" s="12"/>
      <c r="J66" s="21"/>
      <c r="K66" s="10"/>
      <c r="L66" s="22"/>
      <c r="M66" s="12"/>
      <c r="N66" s="21"/>
      <c r="O66" s="10"/>
      <c r="P66" s="22"/>
      <c r="Q66" s="12"/>
      <c r="R66" s="21"/>
      <c r="S66" s="10"/>
      <c r="T66" s="22"/>
      <c r="U66" s="12"/>
      <c r="V66" s="21"/>
      <c r="W66" s="10"/>
      <c r="X66" s="23"/>
    </row>
    <row r="67" spans="1:24" ht="15.6">
      <c r="A67" s="8"/>
      <c r="B67" s="21"/>
      <c r="C67" s="10"/>
      <c r="D67" s="22"/>
      <c r="E67" s="12"/>
      <c r="F67" s="21"/>
      <c r="G67" s="10"/>
      <c r="H67" s="22"/>
      <c r="I67" s="12"/>
      <c r="J67" s="21"/>
      <c r="K67" s="10"/>
      <c r="L67" s="22"/>
      <c r="M67" s="12"/>
      <c r="N67" s="21"/>
      <c r="O67" s="10"/>
      <c r="P67" s="22"/>
      <c r="Q67" s="12"/>
      <c r="R67" s="21"/>
      <c r="S67" s="10"/>
      <c r="T67" s="22"/>
      <c r="U67" s="12"/>
      <c r="V67" s="21"/>
      <c r="W67" s="10"/>
      <c r="X67" s="23"/>
    </row>
    <row r="68" spans="1:24" ht="15.6">
      <c r="A68" s="8"/>
      <c r="B68" s="21"/>
      <c r="C68" s="10"/>
      <c r="D68" s="22"/>
      <c r="E68" s="12"/>
      <c r="F68" s="21"/>
      <c r="G68" s="10"/>
      <c r="H68" s="22"/>
      <c r="I68" s="12"/>
      <c r="J68" s="21"/>
      <c r="K68" s="10"/>
      <c r="L68" s="22"/>
      <c r="M68" s="12"/>
      <c r="N68" s="21"/>
      <c r="O68" s="10"/>
      <c r="P68" s="22"/>
      <c r="Q68" s="12"/>
      <c r="R68" s="21"/>
      <c r="S68" s="10"/>
      <c r="T68" s="22"/>
      <c r="U68" s="12"/>
      <c r="V68" s="21"/>
      <c r="W68" s="10"/>
      <c r="X68" s="23"/>
    </row>
    <row r="69" spans="1:24" ht="15.6">
      <c r="A69" s="8"/>
      <c r="B69" s="21"/>
      <c r="C69" s="10"/>
      <c r="D69" s="22"/>
      <c r="E69" s="12"/>
      <c r="F69" s="21"/>
      <c r="G69" s="10"/>
      <c r="H69" s="22"/>
      <c r="I69" s="12"/>
      <c r="J69" s="21"/>
      <c r="K69" s="10"/>
      <c r="L69" s="22"/>
      <c r="M69" s="12"/>
      <c r="N69" s="21"/>
      <c r="O69" s="10"/>
      <c r="P69" s="22"/>
      <c r="Q69" s="12"/>
      <c r="R69" s="21"/>
      <c r="S69" s="10"/>
      <c r="T69" s="22"/>
      <c r="U69" s="12"/>
      <c r="V69" s="21"/>
      <c r="W69" s="10"/>
      <c r="X69" s="23"/>
    </row>
    <row r="70" spans="1:24" ht="15.6">
      <c r="A70" s="8"/>
      <c r="B70" s="21"/>
      <c r="C70" s="10"/>
      <c r="D70" s="22"/>
      <c r="E70" s="12"/>
      <c r="F70" s="21"/>
      <c r="G70" s="10"/>
      <c r="H70" s="22"/>
      <c r="I70" s="12"/>
      <c r="J70" s="21"/>
      <c r="K70" s="10"/>
      <c r="L70" s="22"/>
      <c r="M70" s="12"/>
      <c r="N70" s="21"/>
      <c r="O70" s="10"/>
      <c r="P70" s="22"/>
      <c r="Q70" s="12"/>
      <c r="R70" s="21"/>
      <c r="S70" s="10"/>
      <c r="T70" s="22"/>
      <c r="U70" s="12"/>
      <c r="V70" s="21"/>
      <c r="W70" s="10"/>
      <c r="X70" s="23"/>
    </row>
    <row r="71" spans="1:24" ht="15.6">
      <c r="A71" s="8"/>
      <c r="B71" s="21"/>
      <c r="C71" s="10"/>
      <c r="D71" s="22"/>
      <c r="E71" s="12"/>
      <c r="F71" s="21"/>
      <c r="G71" s="10"/>
      <c r="H71" s="22"/>
      <c r="I71" s="12"/>
      <c r="J71" s="21"/>
      <c r="K71" s="10"/>
      <c r="L71" s="22"/>
      <c r="M71" s="12"/>
      <c r="N71" s="21"/>
      <c r="O71" s="10"/>
      <c r="P71" s="22"/>
      <c r="Q71" s="12"/>
      <c r="R71" s="21"/>
      <c r="S71" s="10"/>
      <c r="T71" s="22"/>
      <c r="U71" s="12"/>
      <c r="V71" s="21"/>
      <c r="W71" s="10"/>
      <c r="X71" s="23"/>
    </row>
    <row r="72" spans="1:24" ht="15.6">
      <c r="A72" s="8"/>
      <c r="B72" s="21"/>
      <c r="C72" s="10"/>
      <c r="D72" s="22"/>
      <c r="E72" s="12"/>
      <c r="F72" s="21"/>
      <c r="G72" s="10"/>
      <c r="H72" s="22"/>
      <c r="I72" s="12"/>
      <c r="J72" s="21"/>
      <c r="K72" s="10"/>
      <c r="L72" s="22"/>
      <c r="M72" s="12"/>
      <c r="N72" s="21"/>
      <c r="O72" s="10"/>
      <c r="P72" s="22"/>
      <c r="Q72" s="12"/>
      <c r="R72" s="21"/>
      <c r="S72" s="10"/>
      <c r="T72" s="22"/>
      <c r="U72" s="12"/>
      <c r="V72" s="21"/>
      <c r="W72" s="10"/>
      <c r="X72" s="23"/>
    </row>
    <row r="73" spans="1:24" ht="15.6">
      <c r="A73" s="8"/>
      <c r="B73" s="21"/>
      <c r="C73" s="10"/>
      <c r="D73" s="22"/>
      <c r="E73" s="12"/>
      <c r="F73" s="21"/>
      <c r="G73" s="10"/>
      <c r="H73" s="22"/>
      <c r="I73" s="12"/>
      <c r="J73" s="21"/>
      <c r="K73" s="10"/>
      <c r="L73" s="22"/>
      <c r="M73" s="12"/>
      <c r="N73" s="21"/>
      <c r="O73" s="10"/>
      <c r="P73" s="22"/>
      <c r="Q73" s="12"/>
      <c r="R73" s="21"/>
      <c r="S73" s="10"/>
      <c r="T73" s="22"/>
      <c r="U73" s="12"/>
      <c r="V73" s="21"/>
      <c r="W73" s="10"/>
      <c r="X73" s="23"/>
    </row>
    <row r="74" spans="1:24" ht="15.6">
      <c r="A74" s="8"/>
      <c r="B74" s="21"/>
      <c r="C74" s="10"/>
      <c r="D74" s="22"/>
      <c r="E74" s="12"/>
      <c r="F74" s="21"/>
      <c r="G74" s="10"/>
      <c r="H74" s="22"/>
      <c r="I74" s="12"/>
      <c r="J74" s="21"/>
      <c r="K74" s="10"/>
      <c r="L74" s="22"/>
      <c r="M74" s="12"/>
      <c r="N74" s="21"/>
      <c r="O74" s="10"/>
      <c r="P74" s="22"/>
      <c r="Q74" s="12"/>
      <c r="R74" s="21"/>
      <c r="S74" s="10"/>
      <c r="T74" s="22"/>
      <c r="U74" s="12"/>
      <c r="V74" s="21"/>
      <c r="W74" s="10"/>
      <c r="X74" s="23"/>
    </row>
    <row r="75" spans="1:24" ht="15.6">
      <c r="A75" s="8"/>
      <c r="B75" s="21"/>
      <c r="C75" s="10"/>
      <c r="D75" s="22"/>
      <c r="E75" s="12"/>
      <c r="F75" s="21"/>
      <c r="G75" s="10"/>
      <c r="H75" s="22"/>
      <c r="I75" s="12"/>
      <c r="J75" s="21"/>
      <c r="K75" s="10"/>
      <c r="L75" s="22"/>
      <c r="M75" s="12"/>
      <c r="N75" s="21"/>
      <c r="O75" s="10"/>
      <c r="P75" s="22"/>
      <c r="Q75" s="12"/>
      <c r="R75" s="21"/>
      <c r="S75" s="10"/>
      <c r="T75" s="22"/>
      <c r="U75" s="12"/>
      <c r="V75" s="21"/>
      <c r="W75" s="10"/>
      <c r="X75" s="23"/>
    </row>
    <row r="76" spans="1:24" ht="15.6">
      <c r="A76" s="8"/>
      <c r="B76" s="21"/>
      <c r="C76" s="10"/>
      <c r="D76" s="22"/>
      <c r="E76" s="12"/>
      <c r="F76" s="21"/>
      <c r="G76" s="10"/>
      <c r="H76" s="22"/>
      <c r="I76" s="12"/>
      <c r="J76" s="21"/>
      <c r="K76" s="10"/>
      <c r="L76" s="22"/>
      <c r="M76" s="12"/>
      <c r="N76" s="21"/>
      <c r="O76" s="10"/>
      <c r="P76" s="22"/>
      <c r="Q76" s="12"/>
      <c r="R76" s="21"/>
      <c r="S76" s="10"/>
      <c r="T76" s="22"/>
      <c r="U76" s="12"/>
      <c r="V76" s="21"/>
      <c r="W76" s="10"/>
      <c r="X76" s="23"/>
    </row>
    <row r="77" spans="1:24" ht="15.6">
      <c r="A77" s="8"/>
      <c r="B77" s="21"/>
      <c r="C77" s="10"/>
      <c r="D77" s="22"/>
      <c r="E77" s="12"/>
      <c r="F77" s="21"/>
      <c r="G77" s="10"/>
      <c r="H77" s="22"/>
      <c r="I77" s="12"/>
      <c r="J77" s="21"/>
      <c r="K77" s="10"/>
      <c r="L77" s="22"/>
      <c r="M77" s="12"/>
      <c r="N77" s="21"/>
      <c r="O77" s="10"/>
      <c r="P77" s="22"/>
      <c r="Q77" s="12"/>
      <c r="R77" s="21"/>
      <c r="S77" s="10"/>
      <c r="T77" s="22"/>
      <c r="U77" s="12"/>
      <c r="V77" s="21"/>
      <c r="W77" s="10"/>
      <c r="X77" s="23"/>
    </row>
    <row r="78" spans="1:24" ht="15.6">
      <c r="A78" s="8"/>
      <c r="B78" s="21"/>
      <c r="C78" s="10"/>
      <c r="D78" s="22"/>
      <c r="E78" s="12"/>
      <c r="F78" s="21"/>
      <c r="G78" s="10"/>
      <c r="H78" s="22"/>
      <c r="I78" s="12"/>
      <c r="J78" s="21"/>
      <c r="K78" s="10"/>
      <c r="L78" s="22"/>
      <c r="M78" s="12"/>
      <c r="N78" s="21"/>
      <c r="O78" s="10"/>
      <c r="P78" s="22"/>
      <c r="Q78" s="12"/>
      <c r="R78" s="21"/>
      <c r="S78" s="10"/>
      <c r="T78" s="22"/>
      <c r="U78" s="12"/>
      <c r="V78" s="21"/>
      <c r="W78" s="10"/>
      <c r="X78" s="23"/>
    </row>
    <row r="79" spans="1:24" ht="15.6">
      <c r="A79" s="8"/>
      <c r="B79" s="21"/>
      <c r="C79" s="10"/>
      <c r="D79" s="22"/>
      <c r="E79" s="12"/>
      <c r="F79" s="21"/>
      <c r="G79" s="10"/>
      <c r="H79" s="22"/>
      <c r="I79" s="12"/>
      <c r="J79" s="21"/>
      <c r="K79" s="10"/>
      <c r="L79" s="22"/>
      <c r="M79" s="12"/>
      <c r="N79" s="21"/>
      <c r="O79" s="10"/>
      <c r="P79" s="22"/>
      <c r="Q79" s="12"/>
      <c r="R79" s="21"/>
      <c r="S79" s="10"/>
      <c r="T79" s="22"/>
      <c r="U79" s="12"/>
      <c r="V79" s="21"/>
      <c r="W79" s="10"/>
      <c r="X79" s="23"/>
    </row>
    <row r="80" spans="1:24" ht="15.6">
      <c r="A80" s="8"/>
      <c r="B80" s="21"/>
      <c r="C80" s="10"/>
      <c r="D80" s="22"/>
      <c r="E80" s="12"/>
      <c r="F80" s="21"/>
      <c r="G80" s="10"/>
      <c r="H80" s="22"/>
      <c r="I80" s="12"/>
      <c r="J80" s="21"/>
      <c r="K80" s="10"/>
      <c r="L80" s="22"/>
      <c r="M80" s="12"/>
      <c r="N80" s="21"/>
      <c r="O80" s="10"/>
      <c r="P80" s="22"/>
      <c r="Q80" s="12"/>
      <c r="R80" s="21"/>
      <c r="S80" s="10"/>
      <c r="T80" s="22"/>
      <c r="U80" s="12"/>
      <c r="V80" s="21"/>
      <c r="W80" s="10"/>
      <c r="X80" s="23"/>
    </row>
    <row r="81" spans="1:24" ht="15.6">
      <c r="A81" s="8"/>
      <c r="B81" s="21"/>
      <c r="C81" s="10"/>
      <c r="D81" s="22"/>
      <c r="E81" s="12"/>
      <c r="F81" s="21"/>
      <c r="G81" s="10"/>
      <c r="H81" s="22"/>
      <c r="I81" s="12"/>
      <c r="J81" s="21"/>
      <c r="K81" s="10"/>
      <c r="L81" s="22"/>
      <c r="M81" s="12"/>
      <c r="N81" s="21"/>
      <c r="O81" s="10"/>
      <c r="P81" s="22"/>
      <c r="Q81" s="12"/>
      <c r="R81" s="21"/>
      <c r="S81" s="10"/>
      <c r="T81" s="22"/>
      <c r="U81" s="12"/>
      <c r="V81" s="21"/>
      <c r="W81" s="10"/>
      <c r="X81" s="23"/>
    </row>
    <row r="82" spans="1:24" ht="15.6">
      <c r="A82" s="8"/>
      <c r="B82" s="21"/>
      <c r="C82" s="10"/>
      <c r="D82" s="22"/>
      <c r="E82" s="12"/>
      <c r="F82" s="21"/>
      <c r="G82" s="10"/>
      <c r="H82" s="22"/>
      <c r="I82" s="12"/>
      <c r="J82" s="21"/>
      <c r="K82" s="10"/>
      <c r="L82" s="22"/>
      <c r="M82" s="12"/>
      <c r="N82" s="21"/>
      <c r="O82" s="10"/>
      <c r="P82" s="22"/>
      <c r="Q82" s="12"/>
      <c r="R82" s="21"/>
      <c r="S82" s="10"/>
      <c r="T82" s="22"/>
      <c r="U82" s="12"/>
      <c r="V82" s="21"/>
      <c r="W82" s="10"/>
      <c r="X82" s="23"/>
    </row>
    <row r="83" spans="1:24" ht="15.6">
      <c r="A83" s="8"/>
      <c r="B83" s="21"/>
      <c r="C83" s="10"/>
      <c r="D83" s="22"/>
      <c r="E83" s="12"/>
      <c r="F83" s="21"/>
      <c r="G83" s="10"/>
      <c r="H83" s="22"/>
      <c r="I83" s="12"/>
      <c r="J83" s="21"/>
      <c r="K83" s="10"/>
      <c r="L83" s="22"/>
      <c r="M83" s="12"/>
      <c r="N83" s="21"/>
      <c r="O83" s="10"/>
      <c r="P83" s="22"/>
      <c r="Q83" s="12"/>
      <c r="R83" s="21"/>
      <c r="S83" s="10"/>
      <c r="T83" s="22"/>
      <c r="U83" s="12"/>
      <c r="V83" s="21"/>
      <c r="W83" s="10"/>
      <c r="X83" s="23"/>
    </row>
    <row r="84" spans="1:24" ht="15.6">
      <c r="A84" s="8"/>
      <c r="B84" s="21"/>
      <c r="C84" s="10"/>
      <c r="D84" s="22"/>
      <c r="E84" s="12"/>
      <c r="F84" s="21"/>
      <c r="G84" s="10"/>
      <c r="H84" s="22"/>
      <c r="I84" s="12"/>
      <c r="J84" s="21"/>
      <c r="K84" s="10"/>
      <c r="L84" s="22"/>
      <c r="M84" s="12"/>
      <c r="N84" s="21"/>
      <c r="O84" s="10"/>
      <c r="P84" s="22"/>
      <c r="Q84" s="12"/>
      <c r="R84" s="21"/>
      <c r="S84" s="10"/>
      <c r="T84" s="22"/>
      <c r="U84" s="12"/>
      <c r="V84" s="21"/>
      <c r="W84" s="10"/>
      <c r="X84" s="23"/>
    </row>
    <row r="85" spans="1:24" ht="15.6">
      <c r="A85" s="8"/>
      <c r="B85" s="21"/>
      <c r="C85" s="10"/>
      <c r="D85" s="22"/>
      <c r="E85" s="12"/>
      <c r="F85" s="21"/>
      <c r="G85" s="10"/>
      <c r="H85" s="22"/>
      <c r="I85" s="12"/>
      <c r="J85" s="21"/>
      <c r="K85" s="10"/>
      <c r="L85" s="22"/>
      <c r="M85" s="12"/>
      <c r="N85" s="21"/>
      <c r="O85" s="10"/>
      <c r="P85" s="22"/>
      <c r="Q85" s="12"/>
      <c r="R85" s="21"/>
      <c r="S85" s="10"/>
      <c r="T85" s="22"/>
      <c r="U85" s="12"/>
      <c r="V85" s="21"/>
      <c r="W85" s="10"/>
      <c r="X85" s="23"/>
    </row>
    <row r="86" spans="1:24" ht="15.6">
      <c r="A86" s="8"/>
      <c r="B86" s="21"/>
      <c r="C86" s="10"/>
      <c r="D86" s="22"/>
      <c r="E86" s="12"/>
      <c r="F86" s="21"/>
      <c r="G86" s="10"/>
      <c r="H86" s="22"/>
      <c r="I86" s="12"/>
      <c r="J86" s="21"/>
      <c r="K86" s="10"/>
      <c r="L86" s="22"/>
      <c r="M86" s="12"/>
      <c r="N86" s="21"/>
      <c r="O86" s="10"/>
      <c r="P86" s="22"/>
      <c r="Q86" s="12"/>
      <c r="R86" s="21"/>
      <c r="S86" s="10"/>
      <c r="T86" s="22"/>
      <c r="U86" s="12"/>
      <c r="V86" s="21"/>
      <c r="W86" s="10"/>
      <c r="X86" s="23"/>
    </row>
    <row r="87" spans="1:24" ht="15.6">
      <c r="A87" s="8"/>
      <c r="B87" s="21"/>
      <c r="C87" s="10"/>
      <c r="D87" s="22"/>
      <c r="E87" s="12"/>
      <c r="F87" s="21"/>
      <c r="G87" s="10"/>
      <c r="H87" s="22"/>
      <c r="I87" s="12"/>
      <c r="J87" s="21"/>
      <c r="K87" s="10"/>
      <c r="L87" s="22"/>
      <c r="M87" s="12"/>
      <c r="N87" s="21"/>
      <c r="O87" s="10"/>
      <c r="P87" s="22"/>
      <c r="Q87" s="12"/>
      <c r="R87" s="21"/>
      <c r="S87" s="10"/>
      <c r="T87" s="22"/>
      <c r="U87" s="12"/>
      <c r="V87" s="21"/>
      <c r="W87" s="10"/>
      <c r="X87" s="23"/>
    </row>
    <row r="88" spans="1:24" ht="15.6">
      <c r="A88" s="8"/>
      <c r="B88" s="21"/>
      <c r="C88" s="10"/>
      <c r="D88" s="22"/>
      <c r="E88" s="12"/>
      <c r="F88" s="21"/>
      <c r="G88" s="10"/>
      <c r="H88" s="22"/>
      <c r="I88" s="12"/>
      <c r="J88" s="21"/>
      <c r="K88" s="10"/>
      <c r="L88" s="22"/>
      <c r="M88" s="12"/>
      <c r="N88" s="21"/>
      <c r="O88" s="10"/>
      <c r="P88" s="22"/>
      <c r="Q88" s="12"/>
      <c r="R88" s="21"/>
      <c r="S88" s="10"/>
      <c r="T88" s="22"/>
      <c r="U88" s="12"/>
      <c r="V88" s="21"/>
      <c r="W88" s="10"/>
      <c r="X88" s="23"/>
    </row>
    <row r="89" spans="1:24" ht="15.6">
      <c r="A89" s="8"/>
      <c r="B89" s="21"/>
      <c r="C89" s="10"/>
      <c r="D89" s="22"/>
      <c r="E89" s="12"/>
      <c r="F89" s="21"/>
      <c r="G89" s="10"/>
      <c r="H89" s="22"/>
      <c r="I89" s="12"/>
      <c r="J89" s="21"/>
      <c r="K89" s="10"/>
      <c r="L89" s="22"/>
      <c r="M89" s="12"/>
      <c r="N89" s="21"/>
      <c r="O89" s="10"/>
      <c r="P89" s="22"/>
      <c r="Q89" s="12"/>
      <c r="R89" s="21"/>
      <c r="S89" s="10"/>
      <c r="T89" s="22"/>
      <c r="U89" s="12"/>
      <c r="V89" s="21"/>
      <c r="W89" s="10"/>
      <c r="X89" s="23"/>
    </row>
    <row r="90" spans="1:24" ht="15.6">
      <c r="A90" s="8"/>
      <c r="B90" s="21"/>
      <c r="C90" s="10"/>
      <c r="D90" s="22"/>
      <c r="E90" s="12"/>
      <c r="F90" s="21"/>
      <c r="G90" s="10"/>
      <c r="H90" s="22"/>
      <c r="I90" s="12"/>
      <c r="J90" s="21"/>
      <c r="K90" s="10"/>
      <c r="L90" s="22"/>
      <c r="M90" s="12"/>
      <c r="N90" s="21"/>
      <c r="O90" s="10"/>
      <c r="P90" s="22"/>
      <c r="Q90" s="12"/>
      <c r="R90" s="21"/>
      <c r="S90" s="10"/>
      <c r="T90" s="22"/>
      <c r="U90" s="12"/>
      <c r="V90" s="21"/>
      <c r="W90" s="10"/>
      <c r="X90" s="23"/>
    </row>
    <row r="91" spans="1:24" ht="15.6">
      <c r="A91" s="8"/>
      <c r="B91" s="21"/>
      <c r="C91" s="10"/>
      <c r="D91" s="22"/>
      <c r="E91" s="12"/>
      <c r="F91" s="21"/>
      <c r="G91" s="10"/>
      <c r="H91" s="22"/>
      <c r="I91" s="12"/>
      <c r="J91" s="21"/>
      <c r="K91" s="10"/>
      <c r="L91" s="22"/>
      <c r="M91" s="12"/>
      <c r="N91" s="21"/>
      <c r="O91" s="10"/>
      <c r="P91" s="22"/>
      <c r="Q91" s="12"/>
      <c r="R91" s="21"/>
      <c r="S91" s="10"/>
      <c r="T91" s="22"/>
      <c r="U91" s="12"/>
      <c r="V91" s="21"/>
      <c r="W91" s="10"/>
      <c r="X91" s="23"/>
    </row>
    <row r="92" spans="1:24" ht="15.6">
      <c r="A92" s="8"/>
      <c r="B92" s="21"/>
      <c r="C92" s="10"/>
      <c r="D92" s="22"/>
      <c r="E92" s="12"/>
      <c r="F92" s="21"/>
      <c r="G92" s="10"/>
      <c r="H92" s="22"/>
      <c r="I92" s="12"/>
      <c r="J92" s="21"/>
      <c r="K92" s="10"/>
      <c r="L92" s="22"/>
      <c r="M92" s="12"/>
      <c r="N92" s="21"/>
      <c r="O92" s="10"/>
      <c r="P92" s="22"/>
      <c r="Q92" s="12"/>
      <c r="R92" s="21"/>
      <c r="S92" s="10"/>
      <c r="T92" s="22"/>
      <c r="U92" s="12"/>
      <c r="V92" s="21"/>
      <c r="W92" s="10"/>
      <c r="X92" s="23"/>
    </row>
    <row r="93" spans="1:24" ht="15.6">
      <c r="A93" s="8"/>
      <c r="B93" s="21"/>
      <c r="C93" s="10"/>
      <c r="D93" s="22"/>
      <c r="E93" s="12"/>
      <c r="F93" s="21"/>
      <c r="G93" s="10"/>
      <c r="H93" s="22"/>
      <c r="I93" s="12"/>
      <c r="J93" s="21"/>
      <c r="K93" s="10"/>
      <c r="L93" s="22"/>
      <c r="M93" s="12"/>
      <c r="N93" s="21"/>
      <c r="O93" s="10"/>
      <c r="P93" s="22"/>
      <c r="Q93" s="12"/>
      <c r="R93" s="21"/>
      <c r="S93" s="10"/>
      <c r="T93" s="22"/>
      <c r="U93" s="12"/>
      <c r="V93" s="21"/>
      <c r="W93" s="10"/>
      <c r="X93" s="23"/>
    </row>
    <row r="94" spans="1:24" ht="15.6">
      <c r="A94" s="8"/>
      <c r="B94" s="21"/>
      <c r="C94" s="10"/>
      <c r="D94" s="22"/>
      <c r="E94" s="12"/>
      <c r="F94" s="21"/>
      <c r="G94" s="10"/>
      <c r="H94" s="22"/>
      <c r="I94" s="12"/>
      <c r="J94" s="21"/>
      <c r="K94" s="10"/>
      <c r="L94" s="22"/>
      <c r="M94" s="12"/>
      <c r="N94" s="21"/>
      <c r="O94" s="10"/>
      <c r="P94" s="22"/>
      <c r="Q94" s="12"/>
      <c r="R94" s="21"/>
      <c r="S94" s="10"/>
      <c r="T94" s="22"/>
      <c r="U94" s="12"/>
      <c r="V94" s="21"/>
      <c r="W94" s="10"/>
      <c r="X94" s="23"/>
    </row>
    <row r="95" spans="1:24" ht="15.6">
      <c r="A95" s="8"/>
      <c r="B95" s="21"/>
      <c r="C95" s="10"/>
      <c r="D95" s="22"/>
      <c r="E95" s="12"/>
      <c r="F95" s="21"/>
      <c r="G95" s="10"/>
      <c r="H95" s="22"/>
      <c r="I95" s="12"/>
      <c r="J95" s="21"/>
      <c r="K95" s="10"/>
      <c r="L95" s="22"/>
      <c r="M95" s="12"/>
      <c r="N95" s="21"/>
      <c r="O95" s="10"/>
      <c r="P95" s="22"/>
      <c r="Q95" s="12"/>
      <c r="R95" s="21"/>
      <c r="S95" s="10"/>
      <c r="T95" s="22"/>
      <c r="U95" s="12"/>
      <c r="V95" s="21"/>
      <c r="W95" s="10"/>
      <c r="X95" s="23"/>
    </row>
    <row r="96" spans="1:24" ht="15.6">
      <c r="A96" s="8"/>
      <c r="B96" s="21"/>
      <c r="C96" s="10"/>
      <c r="D96" s="22"/>
      <c r="E96" s="12"/>
      <c r="F96" s="21"/>
      <c r="G96" s="10"/>
      <c r="H96" s="22"/>
      <c r="I96" s="12"/>
      <c r="J96" s="21"/>
      <c r="K96" s="10"/>
      <c r="L96" s="22"/>
      <c r="M96" s="12"/>
      <c r="N96" s="21"/>
      <c r="O96" s="10"/>
      <c r="P96" s="22"/>
      <c r="Q96" s="12"/>
      <c r="R96" s="21"/>
      <c r="S96" s="10"/>
      <c r="T96" s="22"/>
      <c r="U96" s="12"/>
      <c r="V96" s="21"/>
      <c r="W96" s="10"/>
      <c r="X96" s="23"/>
    </row>
    <row r="97" spans="1:24" ht="15.6">
      <c r="A97" s="8"/>
      <c r="B97" s="21"/>
      <c r="C97" s="10"/>
      <c r="D97" s="22"/>
      <c r="E97" s="12"/>
      <c r="F97" s="21"/>
      <c r="G97" s="10"/>
      <c r="H97" s="22"/>
      <c r="I97" s="12"/>
      <c r="J97" s="21"/>
      <c r="K97" s="10"/>
      <c r="L97" s="22"/>
      <c r="M97" s="12"/>
      <c r="N97" s="21"/>
      <c r="O97" s="10"/>
      <c r="P97" s="22"/>
      <c r="Q97" s="12"/>
      <c r="R97" s="21"/>
      <c r="S97" s="10"/>
      <c r="T97" s="22"/>
      <c r="U97" s="12"/>
      <c r="V97" s="21"/>
      <c r="W97" s="10"/>
      <c r="X97" s="23"/>
    </row>
    <row r="98" spans="1:24" ht="15.6">
      <c r="A98" s="8"/>
      <c r="B98" s="21"/>
      <c r="C98" s="10"/>
      <c r="D98" s="22"/>
      <c r="E98" s="12"/>
      <c r="F98" s="21"/>
      <c r="G98" s="10"/>
      <c r="H98" s="22"/>
      <c r="I98" s="12"/>
      <c r="J98" s="21"/>
      <c r="K98" s="10"/>
      <c r="L98" s="22"/>
      <c r="M98" s="12"/>
      <c r="N98" s="21"/>
      <c r="O98" s="10"/>
      <c r="P98" s="22"/>
      <c r="Q98" s="12"/>
      <c r="R98" s="21"/>
      <c r="S98" s="10"/>
      <c r="T98" s="22"/>
      <c r="U98" s="12"/>
      <c r="V98" s="21"/>
      <c r="W98" s="10"/>
      <c r="X98" s="23"/>
    </row>
    <row r="99" spans="1:24" ht="15.6">
      <c r="A99" s="8"/>
      <c r="B99" s="21"/>
      <c r="C99" s="10"/>
      <c r="D99" s="22"/>
      <c r="E99" s="12"/>
      <c r="F99" s="21"/>
      <c r="G99" s="10"/>
      <c r="H99" s="22"/>
      <c r="I99" s="12"/>
      <c r="J99" s="21"/>
      <c r="K99" s="10"/>
      <c r="L99" s="22"/>
      <c r="M99" s="12"/>
      <c r="N99" s="21"/>
      <c r="O99" s="10"/>
      <c r="P99" s="22"/>
      <c r="Q99" s="12"/>
      <c r="R99" s="21"/>
      <c r="S99" s="10"/>
      <c r="T99" s="22"/>
      <c r="U99" s="12"/>
      <c r="V99" s="21"/>
      <c r="W99" s="10"/>
      <c r="X99" s="23"/>
    </row>
    <row r="100" spans="1:24" ht="15.6">
      <c r="A100" s="8"/>
      <c r="B100" s="21"/>
      <c r="C100" s="10"/>
      <c r="D100" s="22"/>
      <c r="E100" s="12"/>
      <c r="F100" s="21"/>
      <c r="G100" s="10"/>
      <c r="H100" s="22"/>
      <c r="I100" s="12"/>
      <c r="J100" s="21"/>
      <c r="K100" s="10"/>
      <c r="L100" s="22"/>
      <c r="M100" s="12"/>
      <c r="N100" s="21"/>
      <c r="O100" s="10"/>
      <c r="P100" s="22"/>
      <c r="Q100" s="12"/>
      <c r="R100" s="21"/>
      <c r="S100" s="10"/>
      <c r="T100" s="22"/>
      <c r="U100" s="12"/>
      <c r="V100" s="21"/>
      <c r="W100" s="10"/>
      <c r="X100" s="23"/>
    </row>
    <row r="101" spans="1:24" ht="15.6">
      <c r="A101" s="8"/>
      <c r="B101" s="21"/>
      <c r="C101" s="10"/>
      <c r="D101" s="22"/>
      <c r="E101" s="12"/>
      <c r="F101" s="21"/>
      <c r="G101" s="10"/>
      <c r="H101" s="22"/>
      <c r="I101" s="12"/>
      <c r="J101" s="21"/>
      <c r="K101" s="10"/>
      <c r="L101" s="22"/>
      <c r="M101" s="12"/>
      <c r="N101" s="21"/>
      <c r="O101" s="10"/>
      <c r="P101" s="22"/>
      <c r="Q101" s="12"/>
      <c r="R101" s="21"/>
      <c r="S101" s="10"/>
      <c r="T101" s="22"/>
      <c r="U101" s="12"/>
      <c r="V101" s="21"/>
      <c r="W101" s="10"/>
      <c r="X101" s="23"/>
    </row>
    <row r="102" spans="1:24" ht="15.6">
      <c r="A102" s="8"/>
      <c r="B102" s="21"/>
      <c r="C102" s="10"/>
      <c r="D102" s="22"/>
      <c r="E102" s="12"/>
      <c r="F102" s="21"/>
      <c r="G102" s="10"/>
      <c r="H102" s="22"/>
      <c r="I102" s="12"/>
      <c r="J102" s="21"/>
      <c r="K102" s="10"/>
      <c r="L102" s="22"/>
      <c r="M102" s="12"/>
      <c r="N102" s="21"/>
      <c r="O102" s="10"/>
      <c r="P102" s="22"/>
      <c r="Q102" s="12"/>
      <c r="R102" s="21"/>
      <c r="S102" s="10"/>
      <c r="T102" s="22"/>
      <c r="U102" s="12"/>
      <c r="V102" s="21"/>
      <c r="W102" s="10"/>
      <c r="X102" s="23"/>
    </row>
    <row r="103" spans="1:24" ht="15.6">
      <c r="A103" s="8"/>
      <c r="B103" s="21"/>
      <c r="C103" s="10"/>
      <c r="D103" s="22"/>
      <c r="E103" s="12"/>
      <c r="F103" s="21"/>
      <c r="G103" s="10"/>
      <c r="H103" s="22"/>
      <c r="I103" s="12"/>
      <c r="J103" s="21"/>
      <c r="K103" s="10"/>
      <c r="L103" s="22"/>
      <c r="M103" s="12"/>
      <c r="N103" s="21"/>
      <c r="O103" s="10"/>
      <c r="P103" s="22"/>
      <c r="Q103" s="12"/>
      <c r="R103" s="21"/>
      <c r="S103" s="10"/>
      <c r="T103" s="22"/>
      <c r="U103" s="12"/>
      <c r="V103" s="21"/>
      <c r="W103" s="10"/>
      <c r="X103" s="23"/>
    </row>
    <row r="104" spans="1:24" ht="15.6">
      <c r="A104" s="8"/>
      <c r="B104" s="21"/>
      <c r="C104" s="10"/>
      <c r="D104" s="22"/>
      <c r="E104" s="12"/>
      <c r="F104" s="21"/>
      <c r="G104" s="10"/>
      <c r="H104" s="22"/>
      <c r="I104" s="12"/>
      <c r="J104" s="21"/>
      <c r="K104" s="10"/>
      <c r="L104" s="22"/>
      <c r="M104" s="12"/>
      <c r="N104" s="21"/>
      <c r="O104" s="10"/>
      <c r="P104" s="22"/>
      <c r="Q104" s="12"/>
      <c r="R104" s="21"/>
      <c r="S104" s="10"/>
      <c r="T104" s="22"/>
      <c r="U104" s="12"/>
      <c r="V104" s="21"/>
      <c r="W104" s="10"/>
      <c r="X104" s="23"/>
    </row>
    <row r="105" spans="1:24" ht="15.6">
      <c r="A105" s="8"/>
      <c r="B105" s="21"/>
      <c r="C105" s="10"/>
      <c r="D105" s="22"/>
      <c r="E105" s="12"/>
      <c r="F105" s="21"/>
      <c r="G105" s="10"/>
      <c r="H105" s="22"/>
      <c r="I105" s="12"/>
      <c r="J105" s="21"/>
      <c r="K105" s="10"/>
      <c r="L105" s="22"/>
      <c r="M105" s="12"/>
      <c r="N105" s="21"/>
      <c r="O105" s="10"/>
      <c r="P105" s="22"/>
      <c r="Q105" s="12"/>
      <c r="R105" s="21"/>
      <c r="S105" s="10"/>
      <c r="T105" s="22"/>
      <c r="U105" s="12"/>
      <c r="V105" s="21"/>
      <c r="W105" s="10"/>
      <c r="X105" s="23"/>
    </row>
    <row r="106" spans="1:24" ht="15.6">
      <c r="A106" s="8"/>
      <c r="B106" s="21"/>
      <c r="C106" s="10"/>
      <c r="D106" s="22"/>
      <c r="E106" s="12"/>
      <c r="F106" s="21"/>
      <c r="G106" s="10"/>
      <c r="H106" s="22"/>
      <c r="I106" s="12"/>
      <c r="J106" s="21"/>
      <c r="K106" s="10"/>
      <c r="L106" s="22"/>
      <c r="M106" s="12"/>
      <c r="N106" s="21"/>
      <c r="O106" s="10"/>
      <c r="P106" s="22"/>
      <c r="Q106" s="12"/>
      <c r="R106" s="21"/>
      <c r="S106" s="10"/>
      <c r="T106" s="22"/>
      <c r="U106" s="12"/>
      <c r="V106" s="21"/>
      <c r="W106" s="10"/>
      <c r="X106" s="23"/>
    </row>
    <row r="107" spans="1:24" ht="15.6">
      <c r="A107" s="8"/>
      <c r="B107" s="21"/>
      <c r="C107" s="10"/>
      <c r="D107" s="22"/>
      <c r="E107" s="12"/>
      <c r="F107" s="21"/>
      <c r="G107" s="10"/>
      <c r="H107" s="22"/>
      <c r="I107" s="12"/>
      <c r="J107" s="21"/>
      <c r="K107" s="10"/>
      <c r="L107" s="22"/>
      <c r="M107" s="12"/>
      <c r="N107" s="21"/>
      <c r="O107" s="10"/>
      <c r="P107" s="22"/>
      <c r="Q107" s="12"/>
      <c r="R107" s="21"/>
      <c r="S107" s="10"/>
      <c r="T107" s="22"/>
      <c r="U107" s="12"/>
      <c r="V107" s="21"/>
      <c r="W107" s="10"/>
      <c r="X107" s="23"/>
    </row>
    <row r="108" spans="1:24" ht="15.6">
      <c r="A108" s="8"/>
      <c r="B108" s="21"/>
      <c r="C108" s="10"/>
      <c r="D108" s="22"/>
      <c r="E108" s="12"/>
      <c r="F108" s="21"/>
      <c r="G108" s="10"/>
      <c r="H108" s="22"/>
      <c r="I108" s="12"/>
      <c r="J108" s="21"/>
      <c r="K108" s="10"/>
      <c r="L108" s="22"/>
      <c r="M108" s="12"/>
      <c r="N108" s="21"/>
      <c r="O108" s="10"/>
      <c r="P108" s="22"/>
      <c r="Q108" s="12"/>
      <c r="R108" s="21"/>
      <c r="S108" s="10"/>
      <c r="T108" s="22"/>
      <c r="U108" s="12"/>
      <c r="V108" s="21"/>
      <c r="W108" s="10"/>
      <c r="X108" s="23"/>
    </row>
    <row r="109" spans="1:24" ht="15.6">
      <c r="A109" s="8"/>
      <c r="B109" s="21"/>
      <c r="C109" s="10"/>
      <c r="D109" s="22"/>
      <c r="E109" s="12"/>
      <c r="F109" s="21"/>
      <c r="G109" s="10"/>
      <c r="H109" s="22"/>
      <c r="I109" s="12"/>
      <c r="J109" s="21"/>
      <c r="K109" s="10"/>
      <c r="L109" s="22"/>
      <c r="M109" s="12"/>
      <c r="N109" s="21"/>
      <c r="O109" s="10"/>
      <c r="P109" s="22"/>
      <c r="Q109" s="12"/>
      <c r="R109" s="21"/>
      <c r="S109" s="10"/>
      <c r="T109" s="22"/>
      <c r="U109" s="12"/>
      <c r="V109" s="21"/>
      <c r="W109" s="10"/>
      <c r="X109" s="23"/>
    </row>
    <row r="110" spans="1:24" ht="15.6">
      <c r="A110" s="8"/>
      <c r="B110" s="21"/>
      <c r="C110" s="10"/>
      <c r="D110" s="22"/>
      <c r="E110" s="12"/>
      <c r="F110" s="21"/>
      <c r="G110" s="10"/>
      <c r="H110" s="22"/>
      <c r="I110" s="12"/>
      <c r="J110" s="21"/>
      <c r="K110" s="10"/>
      <c r="L110" s="22"/>
      <c r="M110" s="12"/>
      <c r="N110" s="21"/>
      <c r="O110" s="10"/>
      <c r="P110" s="22"/>
      <c r="Q110" s="12"/>
      <c r="R110" s="21"/>
      <c r="S110" s="10"/>
      <c r="T110" s="22"/>
      <c r="U110" s="12"/>
      <c r="V110" s="21"/>
      <c r="W110" s="10"/>
      <c r="X110" s="23"/>
    </row>
    <row r="111" spans="1:24" ht="15.6">
      <c r="A111" s="8"/>
      <c r="B111" s="21"/>
      <c r="C111" s="10"/>
      <c r="D111" s="22"/>
      <c r="E111" s="12"/>
      <c r="F111" s="21"/>
      <c r="G111" s="10"/>
      <c r="H111" s="22"/>
      <c r="I111" s="12"/>
      <c r="J111" s="21"/>
      <c r="K111" s="10"/>
      <c r="L111" s="22"/>
      <c r="M111" s="12"/>
      <c r="N111" s="21"/>
      <c r="O111" s="10"/>
      <c r="P111" s="22"/>
      <c r="Q111" s="12"/>
      <c r="R111" s="21"/>
      <c r="S111" s="10"/>
      <c r="T111" s="22"/>
      <c r="U111" s="12"/>
      <c r="V111" s="21"/>
      <c r="W111" s="10"/>
      <c r="X111" s="23"/>
    </row>
    <row r="112" spans="1:24" ht="15.6">
      <c r="A112" s="8"/>
      <c r="B112" s="21"/>
      <c r="C112" s="10"/>
      <c r="D112" s="22"/>
      <c r="E112" s="12"/>
      <c r="F112" s="21"/>
      <c r="G112" s="10"/>
      <c r="H112" s="22"/>
      <c r="I112" s="12"/>
      <c r="J112" s="21"/>
      <c r="K112" s="10"/>
      <c r="L112" s="22"/>
      <c r="M112" s="12"/>
      <c r="N112" s="21"/>
      <c r="O112" s="10"/>
      <c r="P112" s="22"/>
      <c r="Q112" s="12"/>
      <c r="R112" s="21"/>
      <c r="S112" s="10"/>
      <c r="T112" s="22"/>
      <c r="U112" s="12"/>
      <c r="V112" s="21"/>
      <c r="W112" s="10"/>
      <c r="X112" s="23"/>
    </row>
    <row r="113" spans="1:25" ht="15.6">
      <c r="A113" s="8"/>
      <c r="B113" s="21"/>
      <c r="C113" s="10"/>
      <c r="D113" s="22"/>
      <c r="E113" s="12"/>
      <c r="F113" s="21"/>
      <c r="G113" s="10"/>
      <c r="H113" s="22"/>
      <c r="I113" s="12"/>
      <c r="J113" s="21"/>
      <c r="K113" s="10"/>
      <c r="L113" s="22"/>
      <c r="M113" s="12"/>
      <c r="N113" s="21"/>
      <c r="O113" s="10"/>
      <c r="P113" s="22"/>
      <c r="Q113" s="12"/>
      <c r="R113" s="21"/>
      <c r="S113" s="10"/>
      <c r="T113" s="22"/>
      <c r="U113" s="12"/>
      <c r="V113" s="21"/>
      <c r="W113" s="10"/>
      <c r="X113" s="23"/>
    </row>
    <row r="114" spans="1:25" ht="15.6">
      <c r="A114" s="8"/>
      <c r="B114" s="21"/>
      <c r="C114" s="10"/>
      <c r="D114" s="22"/>
      <c r="E114" s="12"/>
      <c r="F114" s="21"/>
      <c r="G114" s="10"/>
      <c r="H114" s="22"/>
      <c r="I114" s="12"/>
      <c r="J114" s="21"/>
      <c r="K114" s="10"/>
      <c r="L114" s="22"/>
      <c r="M114" s="12"/>
      <c r="N114" s="21"/>
      <c r="O114" s="10"/>
      <c r="P114" s="22"/>
      <c r="Q114" s="12"/>
      <c r="R114" s="21"/>
      <c r="S114" s="10"/>
      <c r="T114" s="22"/>
      <c r="U114" s="12"/>
      <c r="V114" s="21"/>
      <c r="W114" s="10"/>
      <c r="X114" s="23"/>
    </row>
    <row r="115" spans="1:25" ht="15.6">
      <c r="A115" s="8"/>
      <c r="B115" s="21"/>
      <c r="C115" s="10"/>
      <c r="D115" s="22"/>
      <c r="E115" s="12"/>
      <c r="F115" s="21"/>
      <c r="G115" s="10"/>
      <c r="H115" s="22"/>
      <c r="I115" s="12"/>
      <c r="J115" s="21"/>
      <c r="K115" s="10"/>
      <c r="L115" s="22"/>
      <c r="M115" s="12"/>
      <c r="N115" s="21"/>
      <c r="O115" s="10"/>
      <c r="P115" s="22"/>
      <c r="Q115" s="12"/>
      <c r="R115" s="21"/>
      <c r="S115" s="10"/>
      <c r="T115" s="22"/>
      <c r="U115" s="12"/>
      <c r="V115" s="21"/>
      <c r="W115" s="10"/>
      <c r="X115" s="23"/>
    </row>
    <row r="116" spans="1:25" ht="15.6">
      <c r="A116" s="8"/>
      <c r="B116" s="21"/>
      <c r="C116" s="10"/>
      <c r="D116" s="22"/>
      <c r="E116" s="12"/>
      <c r="F116" s="21"/>
      <c r="G116" s="10"/>
      <c r="H116" s="22"/>
      <c r="I116" s="12"/>
      <c r="J116" s="21"/>
      <c r="K116" s="10"/>
      <c r="L116" s="22"/>
      <c r="M116" s="12"/>
      <c r="N116" s="21"/>
      <c r="O116" s="10"/>
      <c r="P116" s="22"/>
      <c r="Q116" s="12"/>
      <c r="R116" s="21"/>
      <c r="S116" s="10"/>
      <c r="T116" s="22"/>
      <c r="U116" s="12"/>
      <c r="V116" s="21"/>
      <c r="W116" s="10"/>
      <c r="X116" s="23"/>
    </row>
    <row r="117" spans="1:25" ht="15.6">
      <c r="A117" s="8"/>
      <c r="B117" s="21"/>
      <c r="C117" s="10"/>
      <c r="D117" s="22"/>
      <c r="E117" s="12"/>
      <c r="F117" s="21"/>
      <c r="G117" s="10"/>
      <c r="H117" s="22"/>
      <c r="I117" s="12"/>
      <c r="J117" s="21"/>
      <c r="K117" s="10"/>
      <c r="L117" s="22"/>
      <c r="M117" s="12"/>
      <c r="N117" s="21"/>
      <c r="O117" s="10"/>
      <c r="P117" s="22"/>
      <c r="Q117" s="12"/>
      <c r="R117" s="21"/>
      <c r="S117" s="10"/>
      <c r="T117" s="22"/>
      <c r="U117" s="12"/>
      <c r="V117" s="21"/>
      <c r="W117" s="10"/>
      <c r="X117" s="23"/>
    </row>
    <row r="118" spans="1:25" ht="15.6">
      <c r="A118" s="8"/>
      <c r="B118" s="21"/>
      <c r="C118" s="10"/>
      <c r="D118" s="22"/>
      <c r="E118" s="12"/>
      <c r="F118" s="21"/>
      <c r="G118" s="10"/>
      <c r="H118" s="22"/>
      <c r="I118" s="12"/>
      <c r="J118" s="21"/>
      <c r="K118" s="10"/>
      <c r="L118" s="22"/>
      <c r="M118" s="12"/>
      <c r="N118" s="21"/>
      <c r="O118" s="10"/>
      <c r="P118" s="22"/>
      <c r="Q118" s="12"/>
      <c r="R118" s="21"/>
      <c r="S118" s="10"/>
      <c r="T118" s="22"/>
      <c r="U118" s="12"/>
      <c r="V118" s="21"/>
      <c r="W118" s="10"/>
      <c r="X118" s="23"/>
    </row>
    <row r="119" spans="1:25" ht="15.6">
      <c r="A119" s="8"/>
      <c r="B119" s="21"/>
      <c r="C119" s="10"/>
      <c r="D119" s="22"/>
      <c r="E119" s="12"/>
      <c r="F119" s="21"/>
      <c r="G119" s="10"/>
      <c r="H119" s="22"/>
      <c r="I119" s="12"/>
      <c r="J119" s="21"/>
      <c r="K119" s="10"/>
      <c r="L119" s="22"/>
      <c r="M119" s="12"/>
      <c r="N119" s="21"/>
      <c r="O119" s="10"/>
      <c r="P119" s="22"/>
      <c r="Q119" s="12"/>
      <c r="R119" s="21"/>
      <c r="S119" s="10"/>
      <c r="T119" s="22"/>
      <c r="U119" s="12"/>
      <c r="V119" s="21"/>
      <c r="W119" s="10"/>
      <c r="X119" s="23"/>
    </row>
    <row r="120" spans="1:25" s="44" customFormat="1" ht="16.2" thickBot="1">
      <c r="A120" s="37" t="s">
        <v>17</v>
      </c>
      <c r="B120" s="41">
        <f>SUM(B$61:B$119)</f>
        <v>0</v>
      </c>
      <c r="C120" s="39" t="str">
        <f>A120</f>
        <v xml:space="preserve">Summe + </v>
      </c>
      <c r="D120" s="41">
        <f>SUM(D$61:D$119)</f>
        <v>0</v>
      </c>
      <c r="E120" s="40" t="s">
        <v>23</v>
      </c>
      <c r="F120" s="41">
        <f>SUM(F$61:F$119)</f>
        <v>0</v>
      </c>
      <c r="G120" s="39" t="str">
        <f>A120</f>
        <v xml:space="preserve">Summe + </v>
      </c>
      <c r="H120" s="75">
        <f>SUM(H$61:H$119)</f>
        <v>0</v>
      </c>
      <c r="I120" s="40" t="str">
        <f>A120</f>
        <v xml:space="preserve">Summe + </v>
      </c>
      <c r="J120" s="38">
        <v>0</v>
      </c>
      <c r="K120" s="42" t="str">
        <f>A120</f>
        <v xml:space="preserve">Summe + </v>
      </c>
      <c r="L120" s="41">
        <f>SUM(L$61:L$119)</f>
        <v>1059.4099999999999</v>
      </c>
      <c r="M120" s="40" t="str">
        <f>A120</f>
        <v xml:space="preserve">Summe + </v>
      </c>
      <c r="N120" s="41">
        <f>SUM(N$61:N$119)</f>
        <v>2417.92</v>
      </c>
      <c r="O120" s="39" t="str">
        <f>A120</f>
        <v xml:space="preserve">Summe + </v>
      </c>
      <c r="P120" s="41">
        <f>SUM(P$61:P$119)</f>
        <v>936.98</v>
      </c>
      <c r="Q120" s="40" t="str">
        <f>A120</f>
        <v xml:space="preserve">Summe + </v>
      </c>
      <c r="R120" s="41">
        <f>SUM(R$61:R$119)</f>
        <v>0</v>
      </c>
      <c r="S120" s="39" t="str">
        <f>A120</f>
        <v xml:space="preserve">Summe + </v>
      </c>
      <c r="T120" s="41">
        <f>SUM(T$61:T$119)</f>
        <v>0</v>
      </c>
      <c r="U120" s="40" t="str">
        <f>A120</f>
        <v xml:space="preserve">Summe + </v>
      </c>
      <c r="V120" s="41">
        <f>SUM(V$61:V$119)</f>
        <v>0</v>
      </c>
      <c r="W120" s="39" t="str">
        <f>A120</f>
        <v xml:space="preserve">Summe + </v>
      </c>
      <c r="X120" s="43">
        <f>SUM(X$61:X$119)</f>
        <v>0</v>
      </c>
      <c r="Y120"/>
    </row>
    <row r="121" spans="1:25" s="51" customFormat="1" ht="16.2" thickBot="1">
      <c r="A121" s="45" t="s">
        <v>5</v>
      </c>
      <c r="B121" s="46">
        <f>B60+B120</f>
        <v>0</v>
      </c>
      <c r="C121" s="47" t="str">
        <f>A121</f>
        <v>Summe</v>
      </c>
      <c r="D121" s="48">
        <f>D60+D120</f>
        <v>0</v>
      </c>
      <c r="E121" s="49" t="str">
        <f>A121</f>
        <v>Summe</v>
      </c>
      <c r="F121" s="46">
        <f>F60+F120</f>
        <v>0</v>
      </c>
      <c r="G121" s="47" t="str">
        <f>A121</f>
        <v>Summe</v>
      </c>
      <c r="H121" s="48">
        <f>H60+H120</f>
        <v>0</v>
      </c>
      <c r="I121" s="49" t="str">
        <f>A121</f>
        <v>Summe</v>
      </c>
      <c r="J121" s="46">
        <f>J60+J120</f>
        <v>0</v>
      </c>
      <c r="K121" s="47" t="str">
        <f>A121</f>
        <v>Summe</v>
      </c>
      <c r="L121" s="48">
        <f>L60+L120</f>
        <v>145.61999999999989</v>
      </c>
      <c r="M121" s="49" t="str">
        <f>A121</f>
        <v>Summe</v>
      </c>
      <c r="N121" s="46">
        <f>N60+N120</f>
        <v>1631.3600000000001</v>
      </c>
      <c r="O121" s="47" t="str">
        <f>A121</f>
        <v>Summe</v>
      </c>
      <c r="P121" s="48">
        <f>P60+P120</f>
        <v>822.75</v>
      </c>
      <c r="Q121" s="49" t="str">
        <f>A121</f>
        <v>Summe</v>
      </c>
      <c r="R121" s="46">
        <f>R60+R120</f>
        <v>0</v>
      </c>
      <c r="S121" s="47" t="str">
        <f>A121</f>
        <v>Summe</v>
      </c>
      <c r="T121" s="48">
        <f>T60+T120</f>
        <v>0</v>
      </c>
      <c r="U121" s="49" t="str">
        <f>A121</f>
        <v>Summe</v>
      </c>
      <c r="V121" s="46">
        <f>V60+V120</f>
        <v>0</v>
      </c>
      <c r="W121" s="47" t="str">
        <f>A121</f>
        <v>Summe</v>
      </c>
      <c r="X121" s="50">
        <f>X60+X120</f>
        <v>0</v>
      </c>
      <c r="Y121"/>
    </row>
    <row r="122" spans="1:25" ht="15" thickTop="1"/>
    <row r="128" spans="1:25" ht="15.6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</row>
    <row r="129" spans="1:11" ht="15.6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</row>
    <row r="130" spans="1:11" ht="15.6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</row>
    <row r="131" spans="1:11" ht="15.6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</row>
    <row r="132" spans="1:11" ht="15.6">
      <c r="F132" s="25" t="s">
        <v>7</v>
      </c>
      <c r="G132" s="26" t="s">
        <v>10</v>
      </c>
      <c r="H132" s="26" t="s">
        <v>9</v>
      </c>
      <c r="I132" s="26" t="s">
        <v>11</v>
      </c>
      <c r="J132" s="26" t="s">
        <v>12</v>
      </c>
      <c r="K132" s="24"/>
    </row>
    <row r="133" spans="1:11" ht="15.6">
      <c r="F133" s="1">
        <v>1</v>
      </c>
      <c r="G133" s="28">
        <f>$B$60</f>
        <v>0</v>
      </c>
      <c r="H133" s="28">
        <f>$B$120</f>
        <v>0</v>
      </c>
      <c r="I133" s="1">
        <f>H133+G133</f>
        <v>0</v>
      </c>
      <c r="J133" s="27">
        <f>AVERAGE(I138:I140)</f>
        <v>866.57666666666671</v>
      </c>
      <c r="K133" s="24"/>
    </row>
    <row r="134" spans="1:11" ht="15.6">
      <c r="F134" s="1">
        <v>2</v>
      </c>
      <c r="G134" s="28">
        <f>$D$60</f>
        <v>0</v>
      </c>
      <c r="H134" s="28">
        <f>$D$120</f>
        <v>0</v>
      </c>
      <c r="I134" s="1">
        <f t="shared" ref="I134:I144" si="0">H134+G134</f>
        <v>0</v>
      </c>
      <c r="J134" s="27">
        <f t="shared" ref="J134:J144" si="1">J133</f>
        <v>866.57666666666671</v>
      </c>
      <c r="K134" s="24"/>
    </row>
    <row r="135" spans="1:11" ht="15.6">
      <c r="F135" s="1">
        <v>3</v>
      </c>
      <c r="G135" s="28">
        <f>$F$60</f>
        <v>0</v>
      </c>
      <c r="H135" s="28">
        <f>$F$120</f>
        <v>0</v>
      </c>
      <c r="I135" s="1">
        <f t="shared" si="0"/>
        <v>0</v>
      </c>
      <c r="J135" s="27">
        <f t="shared" si="1"/>
        <v>866.57666666666671</v>
      </c>
      <c r="K135" s="24"/>
    </row>
    <row r="136" spans="1:11" ht="15.6">
      <c r="F136" s="1">
        <v>4</v>
      </c>
      <c r="G136" s="28">
        <f>$H$60</f>
        <v>0</v>
      </c>
      <c r="H136" s="28">
        <f>$H$120</f>
        <v>0</v>
      </c>
      <c r="I136" s="1">
        <f t="shared" si="0"/>
        <v>0</v>
      </c>
      <c r="J136" s="27">
        <f t="shared" si="1"/>
        <v>866.57666666666671</v>
      </c>
      <c r="K136" s="24"/>
    </row>
    <row r="137" spans="1:11" ht="15.6">
      <c r="F137" s="1">
        <v>5</v>
      </c>
      <c r="G137" s="28">
        <f>$J$60</f>
        <v>0</v>
      </c>
      <c r="H137" s="28">
        <f>$J$120</f>
        <v>0</v>
      </c>
      <c r="I137" s="1">
        <f t="shared" si="0"/>
        <v>0</v>
      </c>
      <c r="J137" s="27">
        <f t="shared" si="1"/>
        <v>866.57666666666671</v>
      </c>
      <c r="K137" s="24"/>
    </row>
    <row r="138" spans="1:11" ht="15.6">
      <c r="F138" s="1">
        <v>6</v>
      </c>
      <c r="G138" s="28">
        <f>$L$60</f>
        <v>-913.79</v>
      </c>
      <c r="H138" s="28">
        <f>$L$120</f>
        <v>1059.4099999999999</v>
      </c>
      <c r="I138" s="29">
        <f t="shared" si="0"/>
        <v>145.61999999999989</v>
      </c>
      <c r="J138" s="27">
        <f t="shared" si="1"/>
        <v>866.57666666666671</v>
      </c>
      <c r="K138" s="24"/>
    </row>
    <row r="139" spans="1:11" ht="15.6">
      <c r="F139" s="1">
        <v>7</v>
      </c>
      <c r="G139" s="28">
        <f>$N$60</f>
        <v>-786.56000000000006</v>
      </c>
      <c r="H139" s="28">
        <f>$N$120</f>
        <v>2417.92</v>
      </c>
      <c r="I139" s="30">
        <f t="shared" si="0"/>
        <v>1631.3600000000001</v>
      </c>
      <c r="J139" s="27">
        <f t="shared" si="1"/>
        <v>866.57666666666671</v>
      </c>
      <c r="K139" s="24"/>
    </row>
    <row r="140" spans="1:11" ht="15.6">
      <c r="F140" s="1">
        <v>8</v>
      </c>
      <c r="G140" s="28">
        <f>$P$60</f>
        <v>-114.23</v>
      </c>
      <c r="H140" s="28">
        <f>$P$120</f>
        <v>936.98</v>
      </c>
      <c r="I140" s="1">
        <f t="shared" si="0"/>
        <v>822.75</v>
      </c>
      <c r="J140" s="27">
        <f t="shared" si="1"/>
        <v>866.57666666666671</v>
      </c>
      <c r="K140" s="24"/>
    </row>
    <row r="141" spans="1:11" ht="15.6">
      <c r="F141" s="1">
        <v>9</v>
      </c>
      <c r="G141" s="28">
        <f>$R$60</f>
        <v>0</v>
      </c>
      <c r="H141" s="28">
        <f>$R$120</f>
        <v>0</v>
      </c>
      <c r="I141" s="1">
        <f t="shared" si="0"/>
        <v>0</v>
      </c>
      <c r="J141" s="27">
        <f t="shared" si="1"/>
        <v>866.57666666666671</v>
      </c>
      <c r="K141" s="24"/>
    </row>
    <row r="142" spans="1:11" ht="15.6">
      <c r="F142" s="1">
        <v>10</v>
      </c>
      <c r="G142" s="28">
        <f>$T$60</f>
        <v>0</v>
      </c>
      <c r="H142" s="28">
        <f>$T$120</f>
        <v>0</v>
      </c>
      <c r="I142" s="1">
        <f t="shared" si="0"/>
        <v>0</v>
      </c>
      <c r="J142" s="27">
        <f t="shared" si="1"/>
        <v>866.57666666666671</v>
      </c>
      <c r="K142" s="24"/>
    </row>
    <row r="143" spans="1:11" ht="15.6">
      <c r="F143" s="1">
        <v>11</v>
      </c>
      <c r="G143" s="28">
        <f>$V$60</f>
        <v>0</v>
      </c>
      <c r="H143" s="28">
        <f>$V$120</f>
        <v>0</v>
      </c>
      <c r="I143" s="1">
        <f t="shared" si="0"/>
        <v>0</v>
      </c>
      <c r="J143" s="27">
        <f t="shared" si="1"/>
        <v>866.57666666666671</v>
      </c>
      <c r="K143" s="24"/>
    </row>
    <row r="144" spans="1:11" ht="15.6">
      <c r="F144" s="1">
        <v>12</v>
      </c>
      <c r="G144" s="28">
        <f>$X$60</f>
        <v>0</v>
      </c>
      <c r="H144" s="28">
        <f>$X$120</f>
        <v>0</v>
      </c>
      <c r="I144" s="1">
        <f t="shared" si="0"/>
        <v>0</v>
      </c>
      <c r="J144" s="27">
        <f t="shared" si="1"/>
        <v>866.57666666666671</v>
      </c>
      <c r="K144" s="24"/>
    </row>
    <row r="145" spans="1:11" ht="15.6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</row>
    <row r="146" spans="1:11" ht="15.6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</row>
    <row r="147" spans="1:11" ht="15.6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</row>
    <row r="148" spans="1:11" ht="15.6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</row>
    <row r="149" spans="1:11" ht="15.6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</row>
    <row r="150" spans="1:11" ht="15.6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</row>
    <row r="151" spans="1:11" ht="15.6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</row>
    <row r="152" spans="1:11" ht="15.6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</row>
    <row r="153" spans="1:11" ht="15.6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</row>
    <row r="154" spans="1:11" ht="15.6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</row>
    <row r="155" spans="1:11" ht="15.6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</row>
    <row r="156" spans="1:11" ht="15.6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</row>
    <row r="157" spans="1:11" ht="15.6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</row>
  </sheetData>
  <mergeCells count="14">
    <mergeCell ref="W10:X10"/>
    <mergeCell ref="B2:C2"/>
    <mergeCell ref="B3:C3"/>
    <mergeCell ref="M10:N10"/>
    <mergeCell ref="O10:P10"/>
    <mergeCell ref="Q10:R10"/>
    <mergeCell ref="S10:T10"/>
    <mergeCell ref="U10:V10"/>
    <mergeCell ref="A10:B10"/>
    <mergeCell ref="C10:D10"/>
    <mergeCell ref="E10:F10"/>
    <mergeCell ref="G10:H10"/>
    <mergeCell ref="I10:J10"/>
    <mergeCell ref="K10:L10"/>
  </mergeCells>
  <conditionalFormatting sqref="A145:XFD1048576 Z1:XFD144">
    <cfRule type="cellIs" dxfId="317" priority="122" operator="equal">
      <formula>0</formula>
    </cfRule>
  </conditionalFormatting>
  <conditionalFormatting sqref="X120">
    <cfRule type="cellIs" dxfId="316" priority="1" operator="greaterThan">
      <formula>0</formula>
    </cfRule>
  </conditionalFormatting>
  <conditionalFormatting sqref="B12:B119 D12:D119 F12:F119 H12:H119 J12:J119">
    <cfRule type="cellIs" dxfId="315" priority="93" operator="greaterThan">
      <formula>0</formula>
    </cfRule>
    <cfRule type="cellIs" dxfId="314" priority="94" operator="lessThan">
      <formula>0</formula>
    </cfRule>
  </conditionalFormatting>
  <conditionalFormatting sqref="B12:B119 D12:D119 F12:F119 H12:H119 J12:J119">
    <cfRule type="cellIs" dxfId="313" priority="92" operator="equal">
      <formula>0</formula>
    </cfRule>
  </conditionalFormatting>
  <conditionalFormatting sqref="A10:L11 F132:J144 K134:L144 K132:K133 B2:B3 A122:L131 A12:J119 A121:J121 A120 E120 G120 I120:J120 C120">
    <cfRule type="cellIs" dxfId="312" priority="90" operator="lessThan">
      <formula>0</formula>
    </cfRule>
    <cfRule type="cellIs" dxfId="311" priority="91" operator="lessThan">
      <formula>0</formula>
    </cfRule>
  </conditionalFormatting>
  <conditionalFormatting sqref="A10:L11 F132:J144 K134:L144 K132:K133 B2:B3 A122:L131 A12:J119 A121:J121 A120 E120 G120 I120:J120 C120">
    <cfRule type="cellIs" dxfId="310" priority="89" operator="lessThan">
      <formula>0</formula>
    </cfRule>
  </conditionalFormatting>
  <conditionalFormatting sqref="B12:B119 D12:D119 F12:F119 H12:H119 J12:J121 B3 G133:J144 D121 F121 H121 B121">
    <cfRule type="cellIs" dxfId="309" priority="88" operator="greaterThan">
      <formula>0</formula>
    </cfRule>
  </conditionalFormatting>
  <conditionalFormatting sqref="R12:R119 T12:T119 V12:V119 X12:X119">
    <cfRule type="cellIs" dxfId="308" priority="83" operator="equal">
      <formula>0</formula>
    </cfRule>
    <cfRule type="cellIs" dxfId="307" priority="84" operator="greaterThan">
      <formula>0</formula>
    </cfRule>
  </conditionalFormatting>
  <conditionalFormatting sqref="M10:X11 Q12:X119 Q121:X121 Q120 S120 U120 W120">
    <cfRule type="cellIs" dxfId="306" priority="80" operator="lessThan">
      <formula>0</formula>
    </cfRule>
    <cfRule type="cellIs" dxfId="305" priority="81" operator="lessThan">
      <formula>0</formula>
    </cfRule>
  </conditionalFormatting>
  <conditionalFormatting sqref="M10:X11 Q12:X119 Q121:X121 Q120 S120 U120 W120">
    <cfRule type="cellIs" dxfId="304" priority="79" operator="lessThan">
      <formula>0</formula>
    </cfRule>
  </conditionalFormatting>
  <conditionalFormatting sqref="R12:R119 T12:T119 V12:V119 X12:X119 R121 T121 V121 X121">
    <cfRule type="cellIs" dxfId="303" priority="78" operator="greaterThan">
      <formula>0</formula>
    </cfRule>
  </conditionalFormatting>
  <conditionalFormatting sqref="K12:P60 K62:P121 K61:M61 O61:P61">
    <cfRule type="cellIs" dxfId="302" priority="77" operator="equal">
      <formula>0</formula>
    </cfRule>
  </conditionalFormatting>
  <conditionalFormatting sqref="L12:L119">
    <cfRule type="cellIs" dxfId="301" priority="75" operator="greaterThan">
      <formula>0</formula>
    </cfRule>
    <cfRule type="cellIs" dxfId="300" priority="76" operator="lessThan">
      <formula>0</formula>
    </cfRule>
  </conditionalFormatting>
  <conditionalFormatting sqref="L12:L119">
    <cfRule type="cellIs" dxfId="299" priority="74" operator="equal">
      <formula>0</formula>
    </cfRule>
  </conditionalFormatting>
  <conditionalFormatting sqref="K12:L121">
    <cfRule type="cellIs" dxfId="298" priority="72" operator="lessThan">
      <formula>0</formula>
    </cfRule>
    <cfRule type="cellIs" dxfId="297" priority="73" operator="lessThan">
      <formula>0</formula>
    </cfRule>
  </conditionalFormatting>
  <conditionalFormatting sqref="K12:L121">
    <cfRule type="cellIs" dxfId="296" priority="71" operator="lessThan">
      <formula>0</formula>
    </cfRule>
  </conditionalFormatting>
  <conditionalFormatting sqref="L12:L121">
    <cfRule type="cellIs" dxfId="295" priority="70" operator="greaterThan">
      <formula>0</formula>
    </cfRule>
  </conditionalFormatting>
  <conditionalFormatting sqref="N120">
    <cfRule type="cellIs" dxfId="294" priority="67" operator="greaterThan">
      <formula>0</formula>
    </cfRule>
    <cfRule type="cellIs" dxfId="293" priority="68" operator="greaterThan">
      <formula>1287.38</formula>
    </cfRule>
    <cfRule type="cellIs" dxfId="292" priority="69" operator="lessThan">
      <formula>0</formula>
    </cfRule>
  </conditionalFormatting>
  <conditionalFormatting sqref="P12:P119 N12:N60 N62:N119">
    <cfRule type="cellIs" dxfId="291" priority="65" operator="equal">
      <formula>0</formula>
    </cfRule>
    <cfRule type="cellIs" dxfId="290" priority="66" operator="greaterThan">
      <formula>0</formula>
    </cfRule>
  </conditionalFormatting>
  <conditionalFormatting sqref="M17:M54">
    <cfRule type="cellIs" dxfId="289" priority="64" operator="lessThan">
      <formula>0</formula>
    </cfRule>
  </conditionalFormatting>
  <conditionalFormatting sqref="M12:P60 M62:P121 M61 O61:P61">
    <cfRule type="cellIs" dxfId="288" priority="62" operator="lessThan">
      <formula>0</formula>
    </cfRule>
    <cfRule type="cellIs" dxfId="287" priority="63" operator="lessThan">
      <formula>0</formula>
    </cfRule>
  </conditionalFormatting>
  <conditionalFormatting sqref="M12:P60 M62:P121 M61 O61:P61">
    <cfRule type="cellIs" dxfId="286" priority="61" operator="lessThan">
      <formula>0</formula>
    </cfRule>
  </conditionalFormatting>
  <conditionalFormatting sqref="P12:P121 N12:N60 N62:N121">
    <cfRule type="cellIs" dxfId="285" priority="60" operator="greaterThan">
      <formula>0</formula>
    </cfRule>
  </conditionalFormatting>
  <conditionalFormatting sqref="N120">
    <cfRule type="cellIs" dxfId="284" priority="55" operator="lessThan">
      <formula>0</formula>
    </cfRule>
    <cfRule type="cellIs" dxfId="283" priority="56" operator="lessThan">
      <formula>0</formula>
    </cfRule>
  </conditionalFormatting>
  <conditionalFormatting sqref="N120">
    <cfRule type="cellIs" dxfId="282" priority="54" operator="lessThan">
      <formula>0</formula>
    </cfRule>
  </conditionalFormatting>
  <conditionalFormatting sqref="N120">
    <cfRule type="cellIs" dxfId="281" priority="53" operator="greaterThan">
      <formula>0</formula>
    </cfRule>
  </conditionalFormatting>
  <conditionalFormatting sqref="P120">
    <cfRule type="cellIs" dxfId="280" priority="50" operator="greaterThan">
      <formula>0</formula>
    </cfRule>
    <cfRule type="cellIs" dxfId="279" priority="51" operator="greaterThan">
      <formula>1287.38</formula>
    </cfRule>
    <cfRule type="cellIs" dxfId="278" priority="52" operator="lessThan">
      <formula>0</formula>
    </cfRule>
  </conditionalFormatting>
  <conditionalFormatting sqref="P120">
    <cfRule type="cellIs" dxfId="277" priority="48" operator="lessThan">
      <formula>0</formula>
    </cfRule>
    <cfRule type="cellIs" dxfId="276" priority="49" operator="lessThan">
      <formula>0</formula>
    </cfRule>
  </conditionalFormatting>
  <conditionalFormatting sqref="P120">
    <cfRule type="cellIs" dxfId="275" priority="47" operator="lessThan">
      <formula>0</formula>
    </cfRule>
  </conditionalFormatting>
  <conditionalFormatting sqref="P120">
    <cfRule type="cellIs" dxfId="274" priority="46" operator="greaterThan">
      <formula>0</formula>
    </cfRule>
  </conditionalFormatting>
  <conditionalFormatting sqref="X120">
    <cfRule type="cellIs" dxfId="273" priority="5" operator="equal">
      <formula>0</formula>
    </cfRule>
  </conditionalFormatting>
  <conditionalFormatting sqref="X120">
    <cfRule type="cellIs" dxfId="272" priority="3" operator="lessThan">
      <formula>0</formula>
    </cfRule>
    <cfRule type="cellIs" dxfId="271" priority="4" operator="lessThan">
      <formula>0</formula>
    </cfRule>
  </conditionalFormatting>
  <conditionalFormatting sqref="X120">
    <cfRule type="cellIs" dxfId="270" priority="2" operator="lessThan">
      <formula>0</formula>
    </cfRule>
  </conditionalFormatting>
  <conditionalFormatting sqref="D120">
    <cfRule type="cellIs" dxfId="269" priority="40" operator="equal">
      <formula>0</formula>
    </cfRule>
  </conditionalFormatting>
  <conditionalFormatting sqref="D120">
    <cfRule type="cellIs" dxfId="268" priority="38" operator="lessThan">
      <formula>0</formula>
    </cfRule>
    <cfRule type="cellIs" dxfId="267" priority="39" operator="lessThan">
      <formula>0</formula>
    </cfRule>
  </conditionalFormatting>
  <conditionalFormatting sqref="D120">
    <cfRule type="cellIs" dxfId="266" priority="37" operator="lessThan">
      <formula>0</formula>
    </cfRule>
  </conditionalFormatting>
  <conditionalFormatting sqref="D120">
    <cfRule type="cellIs" dxfId="265" priority="36" operator="greaterThan">
      <formula>0</formula>
    </cfRule>
  </conditionalFormatting>
  <conditionalFormatting sqref="F120">
    <cfRule type="cellIs" dxfId="264" priority="35" operator="equal">
      <formula>0</formula>
    </cfRule>
  </conditionalFormatting>
  <conditionalFormatting sqref="F120">
    <cfRule type="cellIs" dxfId="263" priority="33" operator="lessThan">
      <formula>0</formula>
    </cfRule>
    <cfRule type="cellIs" dxfId="262" priority="34" operator="lessThan">
      <formula>0</formula>
    </cfRule>
  </conditionalFormatting>
  <conditionalFormatting sqref="F120">
    <cfRule type="cellIs" dxfId="261" priority="32" operator="lessThan">
      <formula>0</formula>
    </cfRule>
  </conditionalFormatting>
  <conditionalFormatting sqref="F120">
    <cfRule type="cellIs" dxfId="260" priority="31" operator="greaterThan">
      <formula>0</formula>
    </cfRule>
  </conditionalFormatting>
  <conditionalFormatting sqref="H120">
    <cfRule type="cellIs" dxfId="259" priority="30" operator="equal">
      <formula>0</formula>
    </cfRule>
  </conditionalFormatting>
  <conditionalFormatting sqref="H120">
    <cfRule type="cellIs" dxfId="258" priority="28" operator="lessThan">
      <formula>0</formula>
    </cfRule>
    <cfRule type="cellIs" dxfId="257" priority="29" operator="lessThan">
      <formula>0</formula>
    </cfRule>
  </conditionalFormatting>
  <conditionalFormatting sqref="H120">
    <cfRule type="cellIs" dxfId="256" priority="27" operator="lessThan">
      <formula>0</formula>
    </cfRule>
  </conditionalFormatting>
  <conditionalFormatting sqref="H120">
    <cfRule type="cellIs" dxfId="255" priority="26" operator="greaterThan">
      <formula>0</formula>
    </cfRule>
  </conditionalFormatting>
  <conditionalFormatting sqref="B120">
    <cfRule type="cellIs" dxfId="254" priority="25" operator="equal">
      <formula>0</formula>
    </cfRule>
  </conditionalFormatting>
  <conditionalFormatting sqref="B120">
    <cfRule type="cellIs" dxfId="253" priority="23" operator="lessThan">
      <formula>0</formula>
    </cfRule>
    <cfRule type="cellIs" dxfId="252" priority="24" operator="lessThan">
      <formula>0</formula>
    </cfRule>
  </conditionalFormatting>
  <conditionalFormatting sqref="B120">
    <cfRule type="cellIs" dxfId="251" priority="22" operator="lessThan">
      <formula>0</formula>
    </cfRule>
  </conditionalFormatting>
  <conditionalFormatting sqref="B120">
    <cfRule type="cellIs" dxfId="250" priority="21" operator="greaterThan">
      <formula>0</formula>
    </cfRule>
  </conditionalFormatting>
  <conditionalFormatting sqref="R120">
    <cfRule type="cellIs" dxfId="249" priority="20" operator="equal">
      <formula>0</formula>
    </cfRule>
  </conditionalFormatting>
  <conditionalFormatting sqref="R120">
    <cfRule type="cellIs" dxfId="248" priority="18" operator="lessThan">
      <formula>0</formula>
    </cfRule>
    <cfRule type="cellIs" dxfId="247" priority="19" operator="lessThan">
      <formula>0</formula>
    </cfRule>
  </conditionalFormatting>
  <conditionalFormatting sqref="R120">
    <cfRule type="cellIs" dxfId="246" priority="17" operator="lessThan">
      <formula>0</formula>
    </cfRule>
  </conditionalFormatting>
  <conditionalFormatting sqref="R120">
    <cfRule type="cellIs" dxfId="245" priority="16" operator="greaterThan">
      <formula>0</formula>
    </cfRule>
  </conditionalFormatting>
  <conditionalFormatting sqref="T120">
    <cfRule type="cellIs" dxfId="244" priority="15" operator="equal">
      <formula>0</formula>
    </cfRule>
  </conditionalFormatting>
  <conditionalFormatting sqref="T120">
    <cfRule type="cellIs" dxfId="243" priority="13" operator="lessThan">
      <formula>0</formula>
    </cfRule>
    <cfRule type="cellIs" dxfId="242" priority="14" operator="lessThan">
      <formula>0</formula>
    </cfRule>
  </conditionalFormatting>
  <conditionalFormatting sqref="T120">
    <cfRule type="cellIs" dxfId="241" priority="12" operator="lessThan">
      <formula>0</formula>
    </cfRule>
  </conditionalFormatting>
  <conditionalFormatting sqref="T120">
    <cfRule type="cellIs" dxfId="240" priority="11" operator="greaterThan">
      <formula>0</formula>
    </cfRule>
  </conditionalFormatting>
  <conditionalFormatting sqref="V120">
    <cfRule type="cellIs" dxfId="239" priority="10" operator="equal">
      <formula>0</formula>
    </cfRule>
  </conditionalFormatting>
  <conditionalFormatting sqref="V120">
    <cfRule type="cellIs" dxfId="238" priority="8" operator="lessThan">
      <formula>0</formula>
    </cfRule>
    <cfRule type="cellIs" dxfId="237" priority="9" operator="lessThan">
      <formula>0</formula>
    </cfRule>
  </conditionalFormatting>
  <conditionalFormatting sqref="V120">
    <cfRule type="cellIs" dxfId="236" priority="7" operator="lessThan">
      <formula>0</formula>
    </cfRule>
  </conditionalFormatting>
  <conditionalFormatting sqref="V120">
    <cfRule type="cellIs" dxfId="235" priority="6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5</xdr:col>
                <xdr:colOff>0</xdr:colOff>
                <xdr:row>1</xdr:row>
                <xdr:rowOff>15240</xdr:rowOff>
              </from>
              <to>
                <xdr:col>7</xdr:col>
                <xdr:colOff>1066800</xdr:colOff>
                <xdr:row>3</xdr:row>
                <xdr:rowOff>15240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Button 2">
          <controlPr defaultSize="0" print="0" autoFill="0" autoPict="0" macro="[0]!Calc_Sum">
            <anchor moveWithCells="1" sizeWithCells="1">
              <from>
                <xdr:col>4</xdr:col>
                <xdr:colOff>632460</xdr:colOff>
                <xdr:row>1</xdr:row>
                <xdr:rowOff>30480</xdr:rowOff>
              </from>
              <to>
                <xdr:col>8</xdr:col>
                <xdr:colOff>213360</xdr:colOff>
                <xdr:row>3</xdr:row>
                <xdr:rowOff>45720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9F6F0-BAA9-4E35-ABD1-C69285BBD7DD}">
  <sheetPr codeName="Tabelle3"/>
  <dimension ref="A1:AJ133"/>
  <sheetViews>
    <sheetView tabSelected="1" topLeftCell="A72" zoomScale="49" zoomScaleNormal="100" workbookViewId="0">
      <selection activeCell="V12" sqref="V12:X14"/>
    </sheetView>
  </sheetViews>
  <sheetFormatPr baseColWidth="10" defaultRowHeight="14.4"/>
  <cols>
    <col min="1" max="1" width="11" bestFit="1" customWidth="1"/>
    <col min="2" max="2" width="11" customWidth="1"/>
    <col min="3" max="3" width="17.77734375" bestFit="1" customWidth="1"/>
    <col min="4" max="4" width="11" bestFit="1" customWidth="1"/>
    <col min="5" max="5" width="11" customWidth="1"/>
    <col min="6" max="6" width="17.77734375" bestFit="1" customWidth="1"/>
    <col min="7" max="7" width="10" bestFit="1" customWidth="1"/>
    <col min="8" max="8" width="10" customWidth="1"/>
    <col min="9" max="9" width="17.77734375" bestFit="1" customWidth="1"/>
    <col min="10" max="10" width="12.88671875" bestFit="1" customWidth="1"/>
    <col min="11" max="11" width="12.88671875" customWidth="1"/>
    <col min="12" max="12" width="17.77734375" bestFit="1" customWidth="1"/>
    <col min="13" max="13" width="11" bestFit="1" customWidth="1"/>
    <col min="14" max="14" width="11" customWidth="1"/>
    <col min="15" max="15" width="17.77734375" bestFit="1" customWidth="1"/>
    <col min="16" max="16" width="11" bestFit="1" customWidth="1"/>
    <col min="17" max="17" width="11" customWidth="1"/>
    <col min="18" max="18" width="17.77734375" bestFit="1" customWidth="1"/>
    <col min="19" max="19" width="11" bestFit="1" customWidth="1"/>
    <col min="20" max="20" width="11" customWidth="1"/>
    <col min="21" max="21" width="17.77734375" bestFit="1" customWidth="1"/>
    <col min="22" max="22" width="14.44140625" bestFit="1" customWidth="1"/>
    <col min="23" max="23" width="14.44140625" customWidth="1"/>
    <col min="24" max="24" width="17.77734375" bestFit="1" customWidth="1"/>
    <col min="25" max="25" width="11" bestFit="1" customWidth="1"/>
    <col min="26" max="26" width="11" customWidth="1"/>
    <col min="27" max="27" width="17.77734375" bestFit="1" customWidth="1"/>
    <col min="28" max="28" width="11" bestFit="1" customWidth="1"/>
    <col min="29" max="29" width="11" customWidth="1"/>
    <col min="30" max="30" width="17.77734375" bestFit="1" customWidth="1"/>
    <col min="31" max="31" width="11" bestFit="1" customWidth="1"/>
    <col min="32" max="32" width="11" customWidth="1"/>
    <col min="33" max="33" width="17.77734375" bestFit="1" customWidth="1"/>
    <col min="34" max="34" width="11" bestFit="1" customWidth="1"/>
    <col min="35" max="35" width="11" customWidth="1"/>
    <col min="36" max="36" width="17.77734375" bestFit="1" customWidth="1"/>
  </cols>
  <sheetData>
    <row r="1" spans="1:36" s="59" customFormat="1" ht="15" thickBot="1"/>
    <row r="2" spans="1:36" s="59" customFormat="1" ht="37.200000000000003" thickTop="1">
      <c r="C2" s="114" t="s">
        <v>15</v>
      </c>
      <c r="D2" s="115"/>
      <c r="E2" s="89"/>
    </row>
    <row r="3" spans="1:36" s="59" customFormat="1" ht="37.200000000000003" thickBot="1">
      <c r="C3" s="116">
        <v>500</v>
      </c>
      <c r="D3" s="117"/>
      <c r="E3" s="89"/>
    </row>
    <row r="4" spans="1:36" s="59" customFormat="1" ht="15" thickTop="1"/>
    <row r="5" spans="1:36" s="59" customFormat="1"/>
    <row r="6" spans="1:36" s="60" customFormat="1" ht="15" thickBot="1">
      <c r="O6" s="60" t="s">
        <v>23</v>
      </c>
    </row>
    <row r="7" spans="1:36" ht="15" thickTop="1"/>
    <row r="9" spans="1:36" ht="15" thickBot="1"/>
    <row r="10" spans="1:36" ht="27" thickTop="1" thickBot="1">
      <c r="A10" s="102">
        <v>1</v>
      </c>
      <c r="B10" s="118"/>
      <c r="C10" s="103"/>
      <c r="D10" s="100">
        <v>2</v>
      </c>
      <c r="E10" s="94"/>
      <c r="F10" s="101"/>
      <c r="G10" s="94">
        <v>3</v>
      </c>
      <c r="H10" s="94"/>
      <c r="I10" s="94"/>
      <c r="J10" s="100">
        <v>4</v>
      </c>
      <c r="K10" s="94"/>
      <c r="L10" s="101"/>
      <c r="M10" s="94">
        <v>5</v>
      </c>
      <c r="N10" s="94"/>
      <c r="O10" s="94"/>
      <c r="P10" s="100">
        <v>6</v>
      </c>
      <c r="Q10" s="94"/>
      <c r="R10" s="101"/>
      <c r="S10" s="94">
        <v>7</v>
      </c>
      <c r="T10" s="94"/>
      <c r="U10" s="94"/>
      <c r="V10" s="100">
        <v>8</v>
      </c>
      <c r="W10" s="94"/>
      <c r="X10" s="101"/>
      <c r="Y10" s="94">
        <v>9</v>
      </c>
      <c r="Z10" s="94"/>
      <c r="AA10" s="94"/>
      <c r="AB10" s="100">
        <v>10</v>
      </c>
      <c r="AC10" s="94"/>
      <c r="AD10" s="101"/>
      <c r="AE10" s="94">
        <v>11</v>
      </c>
      <c r="AF10" s="94"/>
      <c r="AG10" s="94"/>
      <c r="AH10" s="94">
        <v>12</v>
      </c>
      <c r="AI10" s="94"/>
      <c r="AJ10" s="95"/>
    </row>
    <row r="11" spans="1:36" ht="16.8" thickTop="1" thickBot="1">
      <c r="A11" s="2" t="s">
        <v>36</v>
      </c>
      <c r="B11" s="92" t="s">
        <v>1</v>
      </c>
      <c r="C11" s="3" t="s">
        <v>0</v>
      </c>
      <c r="D11" s="2" t="s">
        <v>36</v>
      </c>
      <c r="E11" s="92" t="s">
        <v>1</v>
      </c>
      <c r="F11" s="5" t="s">
        <v>0</v>
      </c>
      <c r="G11" s="2" t="s">
        <v>36</v>
      </c>
      <c r="H11" s="92" t="s">
        <v>1</v>
      </c>
      <c r="I11" s="3" t="s">
        <v>0</v>
      </c>
      <c r="J11" s="2" t="s">
        <v>36</v>
      </c>
      <c r="K11" s="92" t="s">
        <v>1</v>
      </c>
      <c r="L11" s="5" t="s">
        <v>0</v>
      </c>
      <c r="M11" s="2" t="s">
        <v>36</v>
      </c>
      <c r="N11" s="92" t="s">
        <v>1</v>
      </c>
      <c r="O11" s="3" t="s">
        <v>0</v>
      </c>
      <c r="P11" s="2" t="s">
        <v>36</v>
      </c>
      <c r="Q11" s="92" t="s">
        <v>1</v>
      </c>
      <c r="R11" s="5" t="s">
        <v>0</v>
      </c>
      <c r="S11" s="2" t="s">
        <v>36</v>
      </c>
      <c r="T11" s="92" t="s">
        <v>1</v>
      </c>
      <c r="U11" s="3" t="s">
        <v>0</v>
      </c>
      <c r="V11" s="2" t="s">
        <v>36</v>
      </c>
      <c r="W11" s="92" t="s">
        <v>1</v>
      </c>
      <c r="X11" s="5" t="s">
        <v>0</v>
      </c>
      <c r="Y11" s="2" t="s">
        <v>36</v>
      </c>
      <c r="Z11" s="92" t="s">
        <v>1</v>
      </c>
      <c r="AA11" s="3" t="s">
        <v>0</v>
      </c>
      <c r="AB11" s="2" t="s">
        <v>36</v>
      </c>
      <c r="AC11" s="92" t="s">
        <v>1</v>
      </c>
      <c r="AD11" s="5" t="s">
        <v>0</v>
      </c>
      <c r="AE11" s="2" t="s">
        <v>36</v>
      </c>
      <c r="AF11" s="92" t="s">
        <v>1</v>
      </c>
      <c r="AG11" s="3" t="s">
        <v>0</v>
      </c>
      <c r="AH11" s="2" t="s">
        <v>36</v>
      </c>
      <c r="AI11" s="92" t="s">
        <v>1</v>
      </c>
      <c r="AJ11" s="7" t="s">
        <v>0</v>
      </c>
    </row>
    <row r="12" spans="1:36" ht="15.6">
      <c r="A12" s="8"/>
      <c r="B12" s="91"/>
      <c r="C12" s="21"/>
      <c r="D12" s="10"/>
      <c r="E12" s="91"/>
      <c r="F12" s="22"/>
      <c r="G12" s="12"/>
      <c r="H12" s="91"/>
      <c r="I12" s="21"/>
      <c r="J12" s="10"/>
      <c r="K12" s="91"/>
      <c r="L12" s="22"/>
      <c r="M12" s="12"/>
      <c r="N12" s="91"/>
      <c r="O12" s="21"/>
      <c r="P12" s="10"/>
      <c r="Q12" s="91"/>
      <c r="R12" s="22"/>
      <c r="S12" s="12"/>
      <c r="T12" s="91"/>
      <c r="U12" s="21"/>
      <c r="V12" s="90"/>
      <c r="W12" s="91"/>
      <c r="X12" s="22"/>
      <c r="Y12" s="12"/>
      <c r="Z12" s="91"/>
      <c r="AA12" s="21"/>
      <c r="AB12" s="10"/>
      <c r="AC12" s="91"/>
      <c r="AD12" s="22"/>
      <c r="AE12" s="12"/>
      <c r="AF12" s="91"/>
      <c r="AG12" s="21"/>
      <c r="AH12" s="10"/>
      <c r="AI12" s="91"/>
      <c r="AJ12" s="23"/>
    </row>
    <row r="13" spans="1:36" ht="15.6">
      <c r="A13" s="8"/>
      <c r="B13" s="91"/>
      <c r="C13" s="21"/>
      <c r="D13" s="10"/>
      <c r="E13" s="91"/>
      <c r="F13" s="22"/>
      <c r="G13" s="12"/>
      <c r="H13" s="91"/>
      <c r="I13" s="21"/>
      <c r="J13" s="10"/>
      <c r="K13" s="91"/>
      <c r="L13" s="22"/>
      <c r="M13" s="12"/>
      <c r="N13" s="91"/>
      <c r="O13" s="21"/>
      <c r="P13" s="10"/>
      <c r="Q13" s="91"/>
      <c r="R13" s="22"/>
      <c r="S13" s="12"/>
      <c r="T13" s="91"/>
      <c r="U13" s="21"/>
      <c r="V13" s="90"/>
      <c r="W13" s="91"/>
      <c r="X13" s="22"/>
      <c r="Y13" s="12"/>
      <c r="Z13" s="91"/>
      <c r="AA13" s="21"/>
      <c r="AB13" s="10"/>
      <c r="AC13" s="91"/>
      <c r="AD13" s="22"/>
      <c r="AE13" s="12"/>
      <c r="AF13" s="91"/>
      <c r="AG13" s="21"/>
      <c r="AH13" s="10"/>
      <c r="AI13" s="91"/>
      <c r="AJ13" s="23"/>
    </row>
    <row r="14" spans="1:36" ht="15.6">
      <c r="A14" s="8"/>
      <c r="B14" s="91"/>
      <c r="C14" s="21"/>
      <c r="D14" s="10"/>
      <c r="E14" s="91"/>
      <c r="F14" s="22"/>
      <c r="G14" s="12"/>
      <c r="H14" s="91"/>
      <c r="I14" s="21"/>
      <c r="J14" s="10"/>
      <c r="K14" s="91"/>
      <c r="L14" s="22"/>
      <c r="M14" s="12"/>
      <c r="N14" s="91"/>
      <c r="O14" s="21"/>
      <c r="P14" s="10"/>
      <c r="Q14" s="91"/>
      <c r="R14" s="22"/>
      <c r="S14" s="12"/>
      <c r="T14" s="91"/>
      <c r="U14" s="21"/>
      <c r="V14" s="90"/>
      <c r="W14" s="91"/>
      <c r="X14" s="22"/>
      <c r="Y14" s="12"/>
      <c r="Z14" s="91"/>
      <c r="AA14" s="21"/>
      <c r="AB14" s="10"/>
      <c r="AC14" s="91"/>
      <c r="AD14" s="22"/>
      <c r="AE14" s="12"/>
      <c r="AF14" s="91"/>
      <c r="AG14" s="21"/>
      <c r="AH14" s="10"/>
      <c r="AI14" s="91"/>
      <c r="AJ14" s="23"/>
    </row>
    <row r="15" spans="1:36" ht="15.6">
      <c r="A15" s="8"/>
      <c r="B15" s="91"/>
      <c r="C15" s="21"/>
      <c r="D15" s="10"/>
      <c r="E15" s="91"/>
      <c r="F15" s="22"/>
      <c r="G15" s="12"/>
      <c r="H15" s="91"/>
      <c r="I15" s="21"/>
      <c r="J15" s="10"/>
      <c r="K15" s="91"/>
      <c r="L15" s="22"/>
      <c r="M15" s="12"/>
      <c r="N15" s="91"/>
      <c r="O15" s="21"/>
      <c r="P15" s="10"/>
      <c r="Q15" s="91"/>
      <c r="R15" s="22"/>
      <c r="S15" s="12"/>
      <c r="T15" s="91"/>
      <c r="U15" s="21"/>
      <c r="V15" s="10"/>
      <c r="W15" s="91"/>
      <c r="X15" s="22"/>
      <c r="Y15" s="12"/>
      <c r="Z15" s="91"/>
      <c r="AA15" s="21"/>
      <c r="AB15" s="10"/>
      <c r="AC15" s="91"/>
      <c r="AD15" s="22"/>
      <c r="AE15" s="12"/>
      <c r="AF15" s="91"/>
      <c r="AG15" s="21"/>
      <c r="AH15" s="10"/>
      <c r="AI15" s="91"/>
      <c r="AJ15" s="23"/>
    </row>
    <row r="16" spans="1:36" ht="15.6">
      <c r="A16" s="8"/>
      <c r="B16" s="91"/>
      <c r="C16" s="21"/>
      <c r="D16" s="10"/>
      <c r="E16" s="91"/>
      <c r="F16" s="22"/>
      <c r="G16" s="12"/>
      <c r="H16" s="91"/>
      <c r="I16" s="21"/>
      <c r="J16" s="10"/>
      <c r="K16" s="91"/>
      <c r="L16" s="22"/>
      <c r="M16" s="12"/>
      <c r="N16" s="91"/>
      <c r="O16" s="21"/>
      <c r="P16" s="10"/>
      <c r="Q16" s="91"/>
      <c r="R16" s="22"/>
      <c r="S16" s="12"/>
      <c r="T16" s="91"/>
      <c r="U16" s="21"/>
      <c r="V16" s="10"/>
      <c r="W16" s="91"/>
      <c r="X16" s="22"/>
      <c r="Y16" s="12"/>
      <c r="Z16" s="91"/>
      <c r="AA16" s="21"/>
      <c r="AB16" s="10"/>
      <c r="AC16" s="91"/>
      <c r="AD16" s="22"/>
      <c r="AE16" s="12"/>
      <c r="AF16" s="91"/>
      <c r="AG16" s="21"/>
      <c r="AH16" s="10"/>
      <c r="AI16" s="91"/>
      <c r="AJ16" s="23"/>
    </row>
    <row r="17" spans="1:36" ht="15.6">
      <c r="A17" s="8"/>
      <c r="B17" s="91"/>
      <c r="C17" s="21"/>
      <c r="D17" s="10"/>
      <c r="E17" s="91"/>
      <c r="F17" s="22"/>
      <c r="G17" s="12"/>
      <c r="H17" s="91"/>
      <c r="I17" s="21"/>
      <c r="J17" s="10"/>
      <c r="K17" s="91"/>
      <c r="L17" s="22"/>
      <c r="M17" s="12"/>
      <c r="N17" s="91"/>
      <c r="O17" s="21"/>
      <c r="P17" s="10"/>
      <c r="Q17" s="91"/>
      <c r="R17" s="22"/>
      <c r="S17" s="12"/>
      <c r="T17" s="91"/>
      <c r="U17" s="21"/>
      <c r="V17" s="10"/>
      <c r="W17" s="91"/>
      <c r="X17" s="22"/>
      <c r="Y17" s="12"/>
      <c r="Z17" s="91"/>
      <c r="AA17" s="21"/>
      <c r="AB17" s="10"/>
      <c r="AC17" s="91"/>
      <c r="AD17" s="22"/>
      <c r="AE17" s="12"/>
      <c r="AF17" s="91"/>
      <c r="AG17" s="21"/>
      <c r="AH17" s="10"/>
      <c r="AI17" s="91"/>
      <c r="AJ17" s="23"/>
    </row>
    <row r="18" spans="1:36" ht="15.6">
      <c r="A18" s="8"/>
      <c r="B18" s="91"/>
      <c r="C18" s="21"/>
      <c r="D18" s="10"/>
      <c r="E18" s="91"/>
      <c r="F18" s="22"/>
      <c r="G18" s="12"/>
      <c r="H18" s="91"/>
      <c r="I18" s="21"/>
      <c r="J18" s="10"/>
      <c r="K18" s="91"/>
      <c r="L18" s="22"/>
      <c r="M18" s="12"/>
      <c r="N18" s="91"/>
      <c r="O18" s="21"/>
      <c r="P18" s="10"/>
      <c r="Q18" s="91"/>
      <c r="R18" s="22"/>
      <c r="S18" s="12"/>
      <c r="T18" s="91"/>
      <c r="U18" s="21"/>
      <c r="V18" s="10"/>
      <c r="W18" s="91"/>
      <c r="X18" s="22"/>
      <c r="Y18" s="12"/>
      <c r="Z18" s="91"/>
      <c r="AA18" s="21"/>
      <c r="AB18" s="10"/>
      <c r="AC18" s="91"/>
      <c r="AD18" s="22"/>
      <c r="AE18" s="12"/>
      <c r="AF18" s="91"/>
      <c r="AG18" s="21"/>
      <c r="AH18" s="10"/>
      <c r="AI18" s="91"/>
      <c r="AJ18" s="23"/>
    </row>
    <row r="19" spans="1:36" ht="15.6">
      <c r="A19" s="8"/>
      <c r="B19" s="91"/>
      <c r="C19" s="21"/>
      <c r="D19" s="10"/>
      <c r="E19" s="91"/>
      <c r="F19" s="22"/>
      <c r="G19" s="12"/>
      <c r="H19" s="91"/>
      <c r="I19" s="21"/>
      <c r="J19" s="10"/>
      <c r="K19" s="91"/>
      <c r="L19" s="22"/>
      <c r="M19" s="12"/>
      <c r="N19" s="91"/>
      <c r="O19" s="21"/>
      <c r="P19" s="10"/>
      <c r="Q19" s="91"/>
      <c r="R19" s="22"/>
      <c r="S19" s="12"/>
      <c r="T19" s="91"/>
      <c r="U19" s="21"/>
      <c r="V19" s="10"/>
      <c r="W19" s="91"/>
      <c r="X19" s="22"/>
      <c r="Y19" s="12"/>
      <c r="Z19" s="91"/>
      <c r="AA19" s="21"/>
      <c r="AB19" s="10"/>
      <c r="AC19" s="91"/>
      <c r="AD19" s="22"/>
      <c r="AE19" s="12"/>
      <c r="AF19" s="91"/>
      <c r="AG19" s="21"/>
      <c r="AH19" s="10"/>
      <c r="AI19" s="91"/>
      <c r="AJ19" s="23"/>
    </row>
    <row r="20" spans="1:36" ht="15.6">
      <c r="A20" s="8"/>
      <c r="B20" s="91"/>
      <c r="C20" s="21"/>
      <c r="D20" s="10"/>
      <c r="E20" s="91"/>
      <c r="F20" s="22"/>
      <c r="G20" s="12"/>
      <c r="H20" s="91"/>
      <c r="I20" s="21"/>
      <c r="J20" s="10"/>
      <c r="K20" s="91"/>
      <c r="L20" s="22"/>
      <c r="M20" s="12"/>
      <c r="N20" s="91"/>
      <c r="O20" s="21"/>
      <c r="P20" s="10"/>
      <c r="Q20" s="91"/>
      <c r="R20" s="22"/>
      <c r="S20" s="12"/>
      <c r="T20" s="91"/>
      <c r="U20" s="21"/>
      <c r="V20" s="10"/>
      <c r="W20" s="91"/>
      <c r="X20" s="22"/>
      <c r="Y20" s="12"/>
      <c r="Z20" s="91"/>
      <c r="AA20" s="21"/>
      <c r="AB20" s="10"/>
      <c r="AC20" s="91"/>
      <c r="AD20" s="22"/>
      <c r="AE20" s="12"/>
      <c r="AF20" s="91"/>
      <c r="AG20" s="21"/>
      <c r="AH20" s="10"/>
      <c r="AI20" s="91"/>
      <c r="AJ20" s="23"/>
    </row>
    <row r="21" spans="1:36" ht="15.6">
      <c r="A21" s="8"/>
      <c r="B21" s="91"/>
      <c r="C21" s="21"/>
      <c r="D21" s="10"/>
      <c r="E21" s="91"/>
      <c r="F21" s="22"/>
      <c r="G21" s="12"/>
      <c r="H21" s="91"/>
      <c r="I21" s="21"/>
      <c r="J21" s="10"/>
      <c r="K21" s="91"/>
      <c r="L21" s="22"/>
      <c r="M21" s="12"/>
      <c r="N21" s="91"/>
      <c r="O21" s="21"/>
      <c r="P21" s="10"/>
      <c r="Q21" s="91"/>
      <c r="R21" s="22"/>
      <c r="S21" s="12"/>
      <c r="T21" s="91"/>
      <c r="U21" s="21"/>
      <c r="V21" s="10"/>
      <c r="W21" s="91"/>
      <c r="X21" s="22"/>
      <c r="Y21" s="12"/>
      <c r="Z21" s="91"/>
      <c r="AA21" s="21"/>
      <c r="AB21" s="10"/>
      <c r="AC21" s="91"/>
      <c r="AD21" s="22"/>
      <c r="AE21" s="12"/>
      <c r="AF21" s="91"/>
      <c r="AG21" s="21"/>
      <c r="AH21" s="10"/>
      <c r="AI21" s="91"/>
      <c r="AJ21" s="23"/>
    </row>
    <row r="22" spans="1:36" ht="15.6">
      <c r="A22" s="8"/>
      <c r="B22" s="91"/>
      <c r="C22" s="21"/>
      <c r="D22" s="10"/>
      <c r="E22" s="91"/>
      <c r="F22" s="22"/>
      <c r="G22" s="12"/>
      <c r="H22" s="91"/>
      <c r="I22" s="21"/>
      <c r="J22" s="10"/>
      <c r="K22" s="91"/>
      <c r="L22" s="22"/>
      <c r="M22" s="12"/>
      <c r="N22" s="91"/>
      <c r="O22" s="21"/>
      <c r="P22" s="10"/>
      <c r="Q22" s="91"/>
      <c r="R22" s="22"/>
      <c r="S22" s="12"/>
      <c r="T22" s="91"/>
      <c r="U22" s="21"/>
      <c r="V22" s="10"/>
      <c r="W22" s="91"/>
      <c r="X22" s="22"/>
      <c r="Y22" s="12"/>
      <c r="Z22" s="91"/>
      <c r="AA22" s="21"/>
      <c r="AB22" s="10"/>
      <c r="AC22" s="91"/>
      <c r="AD22" s="22"/>
      <c r="AE22" s="12"/>
      <c r="AF22" s="91"/>
      <c r="AG22" s="21"/>
      <c r="AH22" s="10"/>
      <c r="AI22" s="91"/>
      <c r="AJ22" s="23"/>
    </row>
    <row r="23" spans="1:36" ht="15.6">
      <c r="A23" s="8"/>
      <c r="B23" s="91"/>
      <c r="C23" s="21"/>
      <c r="D23" s="10"/>
      <c r="E23" s="91"/>
      <c r="F23" s="22"/>
      <c r="G23" s="12"/>
      <c r="H23" s="91"/>
      <c r="I23" s="21"/>
      <c r="J23" s="10"/>
      <c r="K23" s="91"/>
      <c r="L23" s="22"/>
      <c r="M23" s="12"/>
      <c r="N23" s="91"/>
      <c r="O23" s="21"/>
      <c r="P23" s="10"/>
      <c r="Q23" s="91"/>
      <c r="R23" s="22"/>
      <c r="S23" s="12"/>
      <c r="T23" s="91"/>
      <c r="U23" s="21"/>
      <c r="V23" s="10"/>
      <c r="W23" s="91"/>
      <c r="X23" s="22"/>
      <c r="Y23" s="12"/>
      <c r="Z23" s="91"/>
      <c r="AA23" s="21"/>
      <c r="AB23" s="10"/>
      <c r="AC23" s="91"/>
      <c r="AD23" s="22"/>
      <c r="AE23" s="12"/>
      <c r="AF23" s="91"/>
      <c r="AG23" s="21"/>
      <c r="AH23" s="10"/>
      <c r="AI23" s="91"/>
      <c r="AJ23" s="23"/>
    </row>
    <row r="24" spans="1:36" ht="15.6">
      <c r="A24" s="8"/>
      <c r="B24" s="91"/>
      <c r="C24" s="21"/>
      <c r="D24" s="10"/>
      <c r="E24" s="91"/>
      <c r="F24" s="22"/>
      <c r="G24" s="12"/>
      <c r="H24" s="91"/>
      <c r="I24" s="21"/>
      <c r="J24" s="10"/>
      <c r="K24" s="91"/>
      <c r="L24" s="22"/>
      <c r="M24" s="12"/>
      <c r="N24" s="91"/>
      <c r="O24" s="21"/>
      <c r="P24" s="10"/>
      <c r="Q24" s="91"/>
      <c r="R24" s="22"/>
      <c r="S24" s="12"/>
      <c r="T24" s="91"/>
      <c r="U24" s="21"/>
      <c r="V24" s="10"/>
      <c r="W24" s="91"/>
      <c r="X24" s="22"/>
      <c r="Y24" s="12"/>
      <c r="Z24" s="91"/>
      <c r="AA24" s="21"/>
      <c r="AB24" s="10"/>
      <c r="AC24" s="91"/>
      <c r="AD24" s="22"/>
      <c r="AE24" s="12"/>
      <c r="AF24" s="91"/>
      <c r="AG24" s="21"/>
      <c r="AH24" s="10"/>
      <c r="AI24" s="91"/>
      <c r="AJ24" s="23"/>
    </row>
    <row r="25" spans="1:36" ht="15.6">
      <c r="A25" s="8"/>
      <c r="B25" s="91"/>
      <c r="C25" s="21"/>
      <c r="D25" s="10"/>
      <c r="E25" s="91"/>
      <c r="F25" s="22"/>
      <c r="G25" s="12"/>
      <c r="H25" s="91"/>
      <c r="I25" s="21"/>
      <c r="J25" s="10"/>
      <c r="K25" s="91"/>
      <c r="L25" s="22"/>
      <c r="M25" s="12"/>
      <c r="N25" s="91"/>
      <c r="O25" s="21"/>
      <c r="P25" s="10"/>
      <c r="Q25" s="91"/>
      <c r="R25" s="22"/>
      <c r="S25" s="12"/>
      <c r="T25" s="91"/>
      <c r="U25" s="21"/>
      <c r="V25" s="10"/>
      <c r="W25" s="91"/>
      <c r="X25" s="22"/>
      <c r="Y25" s="12"/>
      <c r="Z25" s="91"/>
      <c r="AA25" s="21"/>
      <c r="AB25" s="10"/>
      <c r="AC25" s="91"/>
      <c r="AD25" s="22"/>
      <c r="AE25" s="12"/>
      <c r="AF25" s="91"/>
      <c r="AG25" s="21"/>
      <c r="AH25" s="10"/>
      <c r="AI25" s="91"/>
      <c r="AJ25" s="23"/>
    </row>
    <row r="26" spans="1:36" ht="15.6">
      <c r="A26" s="8"/>
      <c r="B26" s="91"/>
      <c r="C26" s="21"/>
      <c r="D26" s="10"/>
      <c r="E26" s="91"/>
      <c r="F26" s="22"/>
      <c r="G26" s="12"/>
      <c r="H26" s="91"/>
      <c r="I26" s="21"/>
      <c r="J26" s="10"/>
      <c r="K26" s="91"/>
      <c r="L26" s="22"/>
      <c r="M26" s="12"/>
      <c r="N26" s="91"/>
      <c r="O26" s="21"/>
      <c r="P26" s="10"/>
      <c r="Q26" s="91"/>
      <c r="R26" s="22"/>
      <c r="S26" s="12"/>
      <c r="T26" s="91"/>
      <c r="U26" s="21"/>
      <c r="V26" s="10"/>
      <c r="W26" s="91"/>
      <c r="X26" s="22"/>
      <c r="Y26" s="12"/>
      <c r="Z26" s="91"/>
      <c r="AA26" s="21"/>
      <c r="AB26" s="10"/>
      <c r="AC26" s="91"/>
      <c r="AD26" s="22"/>
      <c r="AE26" s="12"/>
      <c r="AF26" s="91"/>
      <c r="AG26" s="21"/>
      <c r="AH26" s="10"/>
      <c r="AI26" s="91"/>
      <c r="AJ26" s="23"/>
    </row>
    <row r="27" spans="1:36" ht="15.6">
      <c r="A27" s="8"/>
      <c r="B27" s="91"/>
      <c r="C27" s="21"/>
      <c r="D27" s="10"/>
      <c r="E27" s="91"/>
      <c r="F27" s="22"/>
      <c r="G27" s="12"/>
      <c r="H27" s="91"/>
      <c r="I27" s="21"/>
      <c r="J27" s="10"/>
      <c r="K27" s="91"/>
      <c r="L27" s="22"/>
      <c r="M27" s="12"/>
      <c r="N27" s="91"/>
      <c r="O27" s="21"/>
      <c r="P27" s="10"/>
      <c r="Q27" s="91"/>
      <c r="R27" s="22"/>
      <c r="S27" s="12"/>
      <c r="T27" s="91"/>
      <c r="U27" s="21"/>
      <c r="V27" s="10"/>
      <c r="W27" s="91"/>
      <c r="X27" s="22"/>
      <c r="Y27" s="12"/>
      <c r="Z27" s="91"/>
      <c r="AA27" s="21"/>
      <c r="AB27" s="10"/>
      <c r="AC27" s="91"/>
      <c r="AD27" s="22"/>
      <c r="AE27" s="12"/>
      <c r="AF27" s="91"/>
      <c r="AG27" s="21"/>
      <c r="AH27" s="10"/>
      <c r="AI27" s="91"/>
      <c r="AJ27" s="23"/>
    </row>
    <row r="28" spans="1:36" ht="15.6">
      <c r="A28" s="8"/>
      <c r="B28" s="91"/>
      <c r="C28" s="21"/>
      <c r="D28" s="10"/>
      <c r="E28" s="91"/>
      <c r="F28" s="22"/>
      <c r="G28" s="12"/>
      <c r="H28" s="91"/>
      <c r="I28" s="21"/>
      <c r="J28" s="10"/>
      <c r="K28" s="91"/>
      <c r="L28" s="22"/>
      <c r="M28" s="12"/>
      <c r="N28" s="91"/>
      <c r="O28" s="21"/>
      <c r="P28" s="10"/>
      <c r="Q28" s="91"/>
      <c r="R28" s="22"/>
      <c r="S28" s="12"/>
      <c r="T28" s="91"/>
      <c r="U28" s="21"/>
      <c r="V28" s="10"/>
      <c r="W28" s="91"/>
      <c r="X28" s="22"/>
      <c r="Y28" s="12"/>
      <c r="Z28" s="91"/>
      <c r="AA28" s="21"/>
      <c r="AB28" s="10"/>
      <c r="AC28" s="91"/>
      <c r="AD28" s="22"/>
      <c r="AE28" s="12"/>
      <c r="AF28" s="91"/>
      <c r="AG28" s="21"/>
      <c r="AH28" s="10"/>
      <c r="AI28" s="91"/>
      <c r="AJ28" s="23"/>
    </row>
    <row r="29" spans="1:36" ht="15.6">
      <c r="A29" s="8"/>
      <c r="B29" s="91"/>
      <c r="C29" s="21"/>
      <c r="D29" s="10"/>
      <c r="E29" s="91"/>
      <c r="F29" s="22"/>
      <c r="G29" s="12"/>
      <c r="H29" s="91"/>
      <c r="I29" s="21"/>
      <c r="J29" s="10"/>
      <c r="K29" s="91"/>
      <c r="L29" s="22"/>
      <c r="M29" s="12"/>
      <c r="N29" s="91"/>
      <c r="O29" s="21"/>
      <c r="P29" s="10"/>
      <c r="Q29" s="91"/>
      <c r="R29" s="22"/>
      <c r="S29" s="12"/>
      <c r="T29" s="91"/>
      <c r="U29" s="21"/>
      <c r="V29" s="10"/>
      <c r="W29" s="91"/>
      <c r="X29" s="22"/>
      <c r="Y29" s="12"/>
      <c r="Z29" s="91"/>
      <c r="AA29" s="21"/>
      <c r="AB29" s="10"/>
      <c r="AC29" s="91"/>
      <c r="AD29" s="22"/>
      <c r="AE29" s="12"/>
      <c r="AF29" s="91"/>
      <c r="AG29" s="21"/>
      <c r="AH29" s="10"/>
      <c r="AI29" s="91"/>
      <c r="AJ29" s="23"/>
    </row>
    <row r="30" spans="1:36" ht="15.6">
      <c r="A30" s="8"/>
      <c r="B30" s="91"/>
      <c r="C30" s="21"/>
      <c r="D30" s="10"/>
      <c r="E30" s="91"/>
      <c r="F30" s="22"/>
      <c r="G30" s="12"/>
      <c r="H30" s="91"/>
      <c r="I30" s="21"/>
      <c r="J30" s="10"/>
      <c r="K30" s="91"/>
      <c r="L30" s="22"/>
      <c r="M30" s="12"/>
      <c r="N30" s="91"/>
      <c r="O30" s="21"/>
      <c r="P30" s="10"/>
      <c r="Q30" s="91"/>
      <c r="R30" s="22"/>
      <c r="S30" s="12"/>
      <c r="T30" s="91"/>
      <c r="U30" s="21"/>
      <c r="V30" s="10"/>
      <c r="W30" s="91"/>
      <c r="X30" s="22"/>
      <c r="Y30" s="12"/>
      <c r="Z30" s="91"/>
      <c r="AA30" s="21"/>
      <c r="AB30" s="10"/>
      <c r="AC30" s="91"/>
      <c r="AD30" s="22"/>
      <c r="AE30" s="12"/>
      <c r="AF30" s="91"/>
      <c r="AG30" s="21"/>
      <c r="AH30" s="10"/>
      <c r="AI30" s="91"/>
      <c r="AJ30" s="23"/>
    </row>
    <row r="31" spans="1:36" ht="15.6">
      <c r="A31" s="8"/>
      <c r="B31" s="91"/>
      <c r="C31" s="21"/>
      <c r="D31" s="10"/>
      <c r="E31" s="91"/>
      <c r="F31" s="22"/>
      <c r="G31" s="12"/>
      <c r="H31" s="91"/>
      <c r="I31" s="21"/>
      <c r="J31" s="10"/>
      <c r="K31" s="91"/>
      <c r="L31" s="22"/>
      <c r="M31" s="12"/>
      <c r="N31" s="91"/>
      <c r="O31" s="21"/>
      <c r="P31" s="10"/>
      <c r="Q31" s="91"/>
      <c r="R31" s="22"/>
      <c r="S31" s="12"/>
      <c r="T31" s="91"/>
      <c r="U31" s="21"/>
      <c r="V31" s="10"/>
      <c r="W31" s="91"/>
      <c r="X31" s="22"/>
      <c r="Y31" s="12"/>
      <c r="Z31" s="91"/>
      <c r="AA31" s="21"/>
      <c r="AB31" s="10"/>
      <c r="AC31" s="91"/>
      <c r="AD31" s="22"/>
      <c r="AE31" s="12"/>
      <c r="AF31" s="91"/>
      <c r="AG31" s="21"/>
      <c r="AH31" s="10"/>
      <c r="AI31" s="91"/>
      <c r="AJ31" s="23"/>
    </row>
    <row r="32" spans="1:36" ht="15.6">
      <c r="A32" s="8"/>
      <c r="B32" s="91"/>
      <c r="C32" s="21"/>
      <c r="D32" s="10"/>
      <c r="E32" s="91"/>
      <c r="F32" s="22"/>
      <c r="G32" s="12"/>
      <c r="H32" s="91"/>
      <c r="I32" s="21"/>
      <c r="J32" s="10"/>
      <c r="K32" s="91"/>
      <c r="L32" s="22"/>
      <c r="M32" s="12"/>
      <c r="N32" s="91"/>
      <c r="O32" s="21"/>
      <c r="P32" s="10"/>
      <c r="Q32" s="91"/>
      <c r="R32" s="22"/>
      <c r="S32" s="12"/>
      <c r="T32" s="91"/>
      <c r="U32" s="21"/>
      <c r="V32" s="10"/>
      <c r="W32" s="91"/>
      <c r="X32" s="22"/>
      <c r="Y32" s="12"/>
      <c r="Z32" s="91"/>
      <c r="AA32" s="21"/>
      <c r="AB32" s="10"/>
      <c r="AC32" s="91"/>
      <c r="AD32" s="22"/>
      <c r="AE32" s="12"/>
      <c r="AF32" s="91"/>
      <c r="AG32" s="21"/>
      <c r="AH32" s="10"/>
      <c r="AI32" s="91"/>
      <c r="AJ32" s="23"/>
    </row>
    <row r="33" spans="1:36" ht="15.6">
      <c r="A33" s="8"/>
      <c r="B33" s="91"/>
      <c r="C33" s="21"/>
      <c r="D33" s="10"/>
      <c r="E33" s="91"/>
      <c r="F33" s="22"/>
      <c r="G33" s="12"/>
      <c r="H33" s="91"/>
      <c r="I33" s="21"/>
      <c r="J33" s="10"/>
      <c r="K33" s="91"/>
      <c r="L33" s="22"/>
      <c r="M33" s="12"/>
      <c r="N33" s="91"/>
      <c r="O33" s="21"/>
      <c r="P33" s="10"/>
      <c r="Q33" s="91"/>
      <c r="R33" s="22"/>
      <c r="S33" s="12"/>
      <c r="T33" s="91"/>
      <c r="U33" s="21"/>
      <c r="V33" s="10"/>
      <c r="W33" s="91"/>
      <c r="X33" s="22"/>
      <c r="Y33" s="12"/>
      <c r="Z33" s="91"/>
      <c r="AA33" s="21"/>
      <c r="AB33" s="10"/>
      <c r="AC33" s="91"/>
      <c r="AD33" s="22"/>
      <c r="AE33" s="12"/>
      <c r="AF33" s="91"/>
      <c r="AG33" s="21"/>
      <c r="AH33" s="10"/>
      <c r="AI33" s="91"/>
      <c r="AJ33" s="23"/>
    </row>
    <row r="34" spans="1:36" ht="15.6">
      <c r="A34" s="8"/>
      <c r="B34" s="91"/>
      <c r="C34" s="21"/>
      <c r="D34" s="10"/>
      <c r="E34" s="91"/>
      <c r="F34" s="22"/>
      <c r="G34" s="12"/>
      <c r="H34" s="91"/>
      <c r="I34" s="21"/>
      <c r="J34" s="10"/>
      <c r="K34" s="91"/>
      <c r="L34" s="22"/>
      <c r="M34" s="12"/>
      <c r="N34" s="91"/>
      <c r="O34" s="21"/>
      <c r="P34" s="10"/>
      <c r="Q34" s="91"/>
      <c r="R34" s="22"/>
      <c r="S34" s="12"/>
      <c r="T34" s="91"/>
      <c r="U34" s="21"/>
      <c r="V34" s="10"/>
      <c r="W34" s="91"/>
      <c r="X34" s="22"/>
      <c r="Y34" s="12"/>
      <c r="Z34" s="91"/>
      <c r="AA34" s="21"/>
      <c r="AB34" s="10"/>
      <c r="AC34" s="91"/>
      <c r="AD34" s="22"/>
      <c r="AE34" s="12"/>
      <c r="AF34" s="91"/>
      <c r="AG34" s="21"/>
      <c r="AH34" s="10"/>
      <c r="AI34" s="91"/>
      <c r="AJ34" s="23"/>
    </row>
    <row r="35" spans="1:36" ht="15.6">
      <c r="A35" s="8"/>
      <c r="B35" s="91"/>
      <c r="C35" s="21"/>
      <c r="D35" s="10"/>
      <c r="E35" s="91"/>
      <c r="F35" s="22"/>
      <c r="G35" s="12"/>
      <c r="H35" s="91"/>
      <c r="I35" s="21"/>
      <c r="J35" s="10"/>
      <c r="K35" s="91"/>
      <c r="L35" s="22"/>
      <c r="M35" s="12"/>
      <c r="N35" s="91"/>
      <c r="O35" s="21"/>
      <c r="P35" s="10"/>
      <c r="Q35" s="91"/>
      <c r="R35" s="22"/>
      <c r="S35" s="12"/>
      <c r="T35" s="91"/>
      <c r="U35" s="21"/>
      <c r="V35" s="10"/>
      <c r="W35" s="91"/>
      <c r="X35" s="22"/>
      <c r="Y35" s="12"/>
      <c r="Z35" s="91"/>
      <c r="AA35" s="21"/>
      <c r="AB35" s="10"/>
      <c r="AC35" s="91"/>
      <c r="AD35" s="22"/>
      <c r="AE35" s="12"/>
      <c r="AF35" s="91"/>
      <c r="AG35" s="21"/>
      <c r="AH35" s="10"/>
      <c r="AI35" s="91"/>
      <c r="AJ35" s="23"/>
    </row>
    <row r="36" spans="1:36" ht="15.6">
      <c r="A36" s="8"/>
      <c r="B36" s="91"/>
      <c r="C36" s="21"/>
      <c r="D36" s="10"/>
      <c r="E36" s="91"/>
      <c r="F36" s="22"/>
      <c r="G36" s="12"/>
      <c r="H36" s="91"/>
      <c r="I36" s="21"/>
      <c r="J36" s="10"/>
      <c r="K36" s="91"/>
      <c r="L36" s="22"/>
      <c r="M36" s="12"/>
      <c r="N36" s="91"/>
      <c r="O36" s="21"/>
      <c r="P36" s="10"/>
      <c r="Q36" s="91"/>
      <c r="R36" s="22"/>
      <c r="S36" s="12"/>
      <c r="T36" s="91"/>
      <c r="U36" s="21"/>
      <c r="V36" s="10"/>
      <c r="W36" s="91"/>
      <c r="X36" s="22"/>
      <c r="Y36" s="12"/>
      <c r="Z36" s="91"/>
      <c r="AA36" s="21"/>
      <c r="AB36" s="10"/>
      <c r="AC36" s="91"/>
      <c r="AD36" s="22"/>
      <c r="AE36" s="12"/>
      <c r="AF36" s="91"/>
      <c r="AG36" s="21"/>
      <c r="AH36" s="10"/>
      <c r="AI36" s="91"/>
      <c r="AJ36" s="23"/>
    </row>
    <row r="37" spans="1:36" ht="15.6">
      <c r="A37" s="8"/>
      <c r="B37" s="91"/>
      <c r="C37" s="21"/>
      <c r="D37" s="10"/>
      <c r="E37" s="91"/>
      <c r="F37" s="22"/>
      <c r="G37" s="12"/>
      <c r="H37" s="91"/>
      <c r="I37" s="21"/>
      <c r="J37" s="10"/>
      <c r="K37" s="91"/>
      <c r="L37" s="22"/>
      <c r="M37" s="12"/>
      <c r="N37" s="91"/>
      <c r="O37" s="21"/>
      <c r="P37" s="10"/>
      <c r="Q37" s="91"/>
      <c r="R37" s="22"/>
      <c r="S37" s="12"/>
      <c r="T37" s="91"/>
      <c r="U37" s="21"/>
      <c r="V37" s="10"/>
      <c r="W37" s="91"/>
      <c r="X37" s="22"/>
      <c r="Y37" s="12"/>
      <c r="Z37" s="91"/>
      <c r="AA37" s="21"/>
      <c r="AB37" s="10"/>
      <c r="AC37" s="91"/>
      <c r="AD37" s="22"/>
      <c r="AE37" s="12"/>
      <c r="AF37" s="91"/>
      <c r="AG37" s="21"/>
      <c r="AH37" s="10"/>
      <c r="AI37" s="91"/>
      <c r="AJ37" s="23"/>
    </row>
    <row r="38" spans="1:36" ht="15.6">
      <c r="A38" s="8"/>
      <c r="B38" s="91"/>
      <c r="C38" s="21"/>
      <c r="D38" s="10"/>
      <c r="E38" s="91"/>
      <c r="F38" s="22"/>
      <c r="G38" s="12"/>
      <c r="H38" s="91"/>
      <c r="I38" s="21"/>
      <c r="J38" s="10"/>
      <c r="K38" s="91"/>
      <c r="L38" s="22"/>
      <c r="M38" s="12"/>
      <c r="N38" s="91"/>
      <c r="O38" s="21"/>
      <c r="P38" s="10"/>
      <c r="Q38" s="91"/>
      <c r="R38" s="22"/>
      <c r="S38" s="12"/>
      <c r="T38" s="91"/>
      <c r="U38" s="21"/>
      <c r="V38" s="10"/>
      <c r="W38" s="91"/>
      <c r="X38" s="22"/>
      <c r="Y38" s="12"/>
      <c r="Z38" s="91"/>
      <c r="AA38" s="21"/>
      <c r="AB38" s="10"/>
      <c r="AC38" s="91"/>
      <c r="AD38" s="22"/>
      <c r="AE38" s="12"/>
      <c r="AF38" s="91"/>
      <c r="AG38" s="21"/>
      <c r="AH38" s="10"/>
      <c r="AI38" s="91"/>
      <c r="AJ38" s="23"/>
    </row>
    <row r="39" spans="1:36" ht="15.6">
      <c r="A39" s="8"/>
      <c r="B39" s="91"/>
      <c r="C39" s="21"/>
      <c r="D39" s="10"/>
      <c r="E39" s="91"/>
      <c r="F39" s="22"/>
      <c r="G39" s="12"/>
      <c r="H39" s="91"/>
      <c r="I39" s="21"/>
      <c r="J39" s="10"/>
      <c r="K39" s="91"/>
      <c r="L39" s="22"/>
      <c r="M39" s="12"/>
      <c r="N39" s="91"/>
      <c r="O39" s="21"/>
      <c r="P39" s="10"/>
      <c r="Q39" s="91"/>
      <c r="R39" s="22"/>
      <c r="S39" s="12"/>
      <c r="T39" s="91"/>
      <c r="U39" s="21"/>
      <c r="V39" s="10"/>
      <c r="W39" s="91"/>
      <c r="X39" s="22"/>
      <c r="Y39" s="12"/>
      <c r="Z39" s="91"/>
      <c r="AA39" s="21"/>
      <c r="AB39" s="10"/>
      <c r="AC39" s="91"/>
      <c r="AD39" s="22"/>
      <c r="AE39" s="12"/>
      <c r="AF39" s="91"/>
      <c r="AG39" s="21"/>
      <c r="AH39" s="10"/>
      <c r="AI39" s="91"/>
      <c r="AJ39" s="23"/>
    </row>
    <row r="40" spans="1:36" ht="15.6">
      <c r="A40" s="8"/>
      <c r="B40" s="91"/>
      <c r="C40" s="21"/>
      <c r="D40" s="10"/>
      <c r="E40" s="91"/>
      <c r="F40" s="22"/>
      <c r="G40" s="12"/>
      <c r="H40" s="91"/>
      <c r="I40" s="21"/>
      <c r="J40" s="10"/>
      <c r="K40" s="91"/>
      <c r="L40" s="22"/>
      <c r="M40" s="12"/>
      <c r="N40" s="91"/>
      <c r="O40" s="21"/>
      <c r="P40" s="10"/>
      <c r="Q40" s="91"/>
      <c r="R40" s="22"/>
      <c r="S40" s="12"/>
      <c r="T40" s="91"/>
      <c r="U40" s="21"/>
      <c r="V40" s="10"/>
      <c r="W40" s="91"/>
      <c r="X40" s="22"/>
      <c r="Y40" s="12"/>
      <c r="Z40" s="91"/>
      <c r="AA40" s="21"/>
      <c r="AB40" s="10"/>
      <c r="AC40" s="91"/>
      <c r="AD40" s="22"/>
      <c r="AE40" s="12"/>
      <c r="AF40" s="91"/>
      <c r="AG40" s="21"/>
      <c r="AH40" s="10"/>
      <c r="AI40" s="91"/>
      <c r="AJ40" s="23"/>
    </row>
    <row r="41" spans="1:36" ht="15.6">
      <c r="A41" s="8"/>
      <c r="B41" s="91"/>
      <c r="C41" s="21"/>
      <c r="D41" s="10"/>
      <c r="E41" s="91"/>
      <c r="F41" s="22"/>
      <c r="G41" s="12"/>
      <c r="H41" s="91"/>
      <c r="I41" s="21"/>
      <c r="J41" s="10"/>
      <c r="K41" s="91"/>
      <c r="L41" s="22"/>
      <c r="M41" s="12"/>
      <c r="N41" s="91"/>
      <c r="O41" s="21"/>
      <c r="P41" s="10"/>
      <c r="Q41" s="91"/>
      <c r="R41" s="22"/>
      <c r="S41" s="12"/>
      <c r="T41" s="91"/>
      <c r="U41" s="21"/>
      <c r="V41" s="10"/>
      <c r="W41" s="91"/>
      <c r="X41" s="22"/>
      <c r="Y41" s="12"/>
      <c r="Z41" s="91"/>
      <c r="AA41" s="21"/>
      <c r="AB41" s="10"/>
      <c r="AC41" s="91"/>
      <c r="AD41" s="22"/>
      <c r="AE41" s="12"/>
      <c r="AF41" s="91"/>
      <c r="AG41" s="21"/>
      <c r="AH41" s="10"/>
      <c r="AI41" s="91"/>
      <c r="AJ41" s="23"/>
    </row>
    <row r="42" spans="1:36" ht="15.6">
      <c r="A42" s="8"/>
      <c r="B42" s="91"/>
      <c r="C42" s="21"/>
      <c r="D42" s="10"/>
      <c r="E42" s="91"/>
      <c r="F42" s="22"/>
      <c r="G42" s="12"/>
      <c r="H42" s="91"/>
      <c r="I42" s="21"/>
      <c r="J42" s="10"/>
      <c r="K42" s="91"/>
      <c r="L42" s="22"/>
      <c r="M42" s="12"/>
      <c r="N42" s="91"/>
      <c r="O42" s="21"/>
      <c r="P42" s="10"/>
      <c r="Q42" s="91"/>
      <c r="R42" s="22"/>
      <c r="S42" s="12"/>
      <c r="T42" s="91"/>
      <c r="U42" s="21"/>
      <c r="V42" s="10"/>
      <c r="W42" s="91"/>
      <c r="X42" s="22"/>
      <c r="Y42" s="12"/>
      <c r="Z42" s="91"/>
      <c r="AA42" s="21"/>
      <c r="AB42" s="10"/>
      <c r="AC42" s="91"/>
      <c r="AD42" s="22"/>
      <c r="AE42" s="12"/>
      <c r="AF42" s="91"/>
      <c r="AG42" s="21"/>
      <c r="AH42" s="10"/>
      <c r="AI42" s="91"/>
      <c r="AJ42" s="23"/>
    </row>
    <row r="43" spans="1:36" ht="15.6">
      <c r="A43" s="8"/>
      <c r="B43" s="91"/>
      <c r="C43" s="21"/>
      <c r="D43" s="10"/>
      <c r="E43" s="91"/>
      <c r="F43" s="22"/>
      <c r="G43" s="12"/>
      <c r="H43" s="91"/>
      <c r="I43" s="21"/>
      <c r="J43" s="10"/>
      <c r="K43" s="91"/>
      <c r="L43" s="22"/>
      <c r="M43" s="12"/>
      <c r="N43" s="91"/>
      <c r="O43" s="21"/>
      <c r="P43" s="10"/>
      <c r="Q43" s="91"/>
      <c r="R43" s="22"/>
      <c r="S43" s="12"/>
      <c r="T43" s="91"/>
      <c r="U43" s="21"/>
      <c r="V43" s="10"/>
      <c r="W43" s="91"/>
      <c r="X43" s="22"/>
      <c r="Y43" s="12"/>
      <c r="Z43" s="91"/>
      <c r="AA43" s="21"/>
      <c r="AB43" s="10"/>
      <c r="AC43" s="91"/>
      <c r="AD43" s="22"/>
      <c r="AE43" s="12"/>
      <c r="AF43" s="91"/>
      <c r="AG43" s="21"/>
      <c r="AH43" s="10"/>
      <c r="AI43" s="91"/>
      <c r="AJ43" s="23"/>
    </row>
    <row r="44" spans="1:36" ht="15.6">
      <c r="A44" s="8"/>
      <c r="B44" s="91"/>
      <c r="C44" s="21"/>
      <c r="D44" s="10"/>
      <c r="E44" s="91"/>
      <c r="F44" s="22"/>
      <c r="G44" s="12"/>
      <c r="H44" s="91"/>
      <c r="I44" s="21"/>
      <c r="J44" s="10"/>
      <c r="K44" s="91"/>
      <c r="L44" s="22"/>
      <c r="M44" s="12"/>
      <c r="N44" s="91"/>
      <c r="O44" s="21"/>
      <c r="P44" s="10"/>
      <c r="Q44" s="91"/>
      <c r="R44" s="22"/>
      <c r="S44" s="12"/>
      <c r="T44" s="91"/>
      <c r="U44" s="21"/>
      <c r="V44" s="10"/>
      <c r="W44" s="91"/>
      <c r="X44" s="22"/>
      <c r="Y44" s="12"/>
      <c r="Z44" s="91"/>
      <c r="AA44" s="21"/>
      <c r="AB44" s="10"/>
      <c r="AC44" s="91"/>
      <c r="AD44" s="22"/>
      <c r="AE44" s="12"/>
      <c r="AF44" s="91"/>
      <c r="AG44" s="21"/>
      <c r="AH44" s="10"/>
      <c r="AI44" s="91"/>
      <c r="AJ44" s="23"/>
    </row>
    <row r="45" spans="1:36" ht="15.6">
      <c r="A45" s="8"/>
      <c r="B45" s="91"/>
      <c r="C45" s="21"/>
      <c r="D45" s="10"/>
      <c r="E45" s="91"/>
      <c r="F45" s="22"/>
      <c r="G45" s="12"/>
      <c r="H45" s="91"/>
      <c r="I45" s="21"/>
      <c r="J45" s="10"/>
      <c r="K45" s="91"/>
      <c r="L45" s="22"/>
      <c r="M45" s="12"/>
      <c r="N45" s="91"/>
      <c r="O45" s="21"/>
      <c r="P45" s="10"/>
      <c r="Q45" s="91"/>
      <c r="R45" s="22"/>
      <c r="S45" s="12"/>
      <c r="T45" s="91"/>
      <c r="U45" s="21"/>
      <c r="V45" s="10"/>
      <c r="W45" s="91"/>
      <c r="X45" s="22"/>
      <c r="Y45" s="12"/>
      <c r="Z45" s="91"/>
      <c r="AA45" s="21"/>
      <c r="AB45" s="10"/>
      <c r="AC45" s="91"/>
      <c r="AD45" s="22"/>
      <c r="AE45" s="12"/>
      <c r="AF45" s="91"/>
      <c r="AG45" s="21"/>
      <c r="AH45" s="10"/>
      <c r="AI45" s="91"/>
      <c r="AJ45" s="23"/>
    </row>
    <row r="46" spans="1:36" ht="15.6">
      <c r="A46" s="8"/>
      <c r="B46" s="91"/>
      <c r="C46" s="21"/>
      <c r="D46" s="10"/>
      <c r="E46" s="91"/>
      <c r="F46" s="22"/>
      <c r="G46" s="12"/>
      <c r="H46" s="91"/>
      <c r="I46" s="21"/>
      <c r="J46" s="10"/>
      <c r="K46" s="91"/>
      <c r="L46" s="22"/>
      <c r="M46" s="12"/>
      <c r="N46" s="91"/>
      <c r="O46" s="21"/>
      <c r="P46" s="10"/>
      <c r="Q46" s="91"/>
      <c r="R46" s="22"/>
      <c r="S46" s="12"/>
      <c r="T46" s="91"/>
      <c r="U46" s="21"/>
      <c r="V46" s="10"/>
      <c r="W46" s="91"/>
      <c r="X46" s="22"/>
      <c r="Y46" s="12"/>
      <c r="Z46" s="91"/>
      <c r="AA46" s="21"/>
      <c r="AB46" s="10"/>
      <c r="AC46" s="91"/>
      <c r="AD46" s="22"/>
      <c r="AE46" s="12"/>
      <c r="AF46" s="91"/>
      <c r="AG46" s="21"/>
      <c r="AH46" s="10"/>
      <c r="AI46" s="91"/>
      <c r="AJ46" s="23"/>
    </row>
    <row r="47" spans="1:36" ht="15.6">
      <c r="A47" s="8"/>
      <c r="B47" s="91"/>
      <c r="C47" s="21"/>
      <c r="D47" s="10"/>
      <c r="E47" s="91"/>
      <c r="F47" s="22"/>
      <c r="G47" s="12"/>
      <c r="H47" s="91"/>
      <c r="I47" s="21"/>
      <c r="J47" s="10"/>
      <c r="K47" s="91"/>
      <c r="L47" s="22"/>
      <c r="M47" s="12"/>
      <c r="N47" s="91"/>
      <c r="O47" s="21"/>
      <c r="P47" s="10"/>
      <c r="Q47" s="91"/>
      <c r="R47" s="22"/>
      <c r="S47" s="12"/>
      <c r="T47" s="91"/>
      <c r="U47" s="21"/>
      <c r="V47" s="10"/>
      <c r="W47" s="91"/>
      <c r="X47" s="22"/>
      <c r="Y47" s="12"/>
      <c r="Z47" s="91"/>
      <c r="AA47" s="21"/>
      <c r="AB47" s="10"/>
      <c r="AC47" s="91"/>
      <c r="AD47" s="22"/>
      <c r="AE47" s="12"/>
      <c r="AF47" s="91"/>
      <c r="AG47" s="21"/>
      <c r="AH47" s="10"/>
      <c r="AI47" s="91"/>
      <c r="AJ47" s="23"/>
    </row>
    <row r="48" spans="1:36" ht="15.6">
      <c r="A48" s="8"/>
      <c r="B48" s="91"/>
      <c r="C48" s="21"/>
      <c r="D48" s="10"/>
      <c r="E48" s="91"/>
      <c r="F48" s="22"/>
      <c r="G48" s="12"/>
      <c r="H48" s="91"/>
      <c r="I48" s="21"/>
      <c r="J48" s="10"/>
      <c r="K48" s="91"/>
      <c r="L48" s="22"/>
      <c r="M48" s="12"/>
      <c r="N48" s="91"/>
      <c r="O48" s="21"/>
      <c r="P48" s="10"/>
      <c r="Q48" s="91"/>
      <c r="R48" s="22"/>
      <c r="S48" s="12"/>
      <c r="T48" s="91"/>
      <c r="U48" s="21"/>
      <c r="V48" s="10"/>
      <c r="W48" s="91"/>
      <c r="X48" s="22"/>
      <c r="Y48" s="12"/>
      <c r="Z48" s="91"/>
      <c r="AA48" s="21"/>
      <c r="AB48" s="10"/>
      <c r="AC48" s="91"/>
      <c r="AD48" s="22"/>
      <c r="AE48" s="12"/>
      <c r="AF48" s="91"/>
      <c r="AG48" s="21"/>
      <c r="AH48" s="10"/>
      <c r="AI48" s="91"/>
      <c r="AJ48" s="23"/>
    </row>
    <row r="49" spans="1:36" ht="15.6">
      <c r="A49" s="8"/>
      <c r="B49" s="91"/>
      <c r="C49" s="21"/>
      <c r="D49" s="10"/>
      <c r="E49" s="91"/>
      <c r="F49" s="22"/>
      <c r="G49" s="12"/>
      <c r="H49" s="91"/>
      <c r="I49" s="21"/>
      <c r="J49" s="10"/>
      <c r="K49" s="91"/>
      <c r="L49" s="22"/>
      <c r="M49" s="12"/>
      <c r="N49" s="91"/>
      <c r="O49" s="21"/>
      <c r="P49" s="10"/>
      <c r="Q49" s="91"/>
      <c r="R49" s="22"/>
      <c r="S49" s="12"/>
      <c r="T49" s="91"/>
      <c r="U49" s="21"/>
      <c r="V49" s="10"/>
      <c r="W49" s="91"/>
      <c r="X49" s="22"/>
      <c r="Y49" s="12"/>
      <c r="Z49" s="91"/>
      <c r="AA49" s="21"/>
      <c r="AB49" s="10"/>
      <c r="AC49" s="91"/>
      <c r="AD49" s="22"/>
      <c r="AE49" s="12"/>
      <c r="AF49" s="91"/>
      <c r="AG49" s="21"/>
      <c r="AH49" s="10"/>
      <c r="AI49" s="91"/>
      <c r="AJ49" s="23"/>
    </row>
    <row r="50" spans="1:36" ht="15.6">
      <c r="A50" s="8"/>
      <c r="B50" s="91"/>
      <c r="C50" s="21"/>
      <c r="D50" s="10"/>
      <c r="E50" s="91"/>
      <c r="F50" s="22"/>
      <c r="G50" s="12"/>
      <c r="H50" s="91"/>
      <c r="I50" s="21"/>
      <c r="J50" s="10"/>
      <c r="K50" s="91"/>
      <c r="L50" s="22"/>
      <c r="M50" s="12"/>
      <c r="N50" s="91"/>
      <c r="O50" s="21"/>
      <c r="P50" s="10"/>
      <c r="Q50" s="91"/>
      <c r="R50" s="22"/>
      <c r="S50" s="12"/>
      <c r="T50" s="91"/>
      <c r="U50" s="21"/>
      <c r="V50" s="10"/>
      <c r="W50" s="91"/>
      <c r="X50" s="22"/>
      <c r="Y50" s="12"/>
      <c r="Z50" s="91"/>
      <c r="AA50" s="21"/>
      <c r="AB50" s="10"/>
      <c r="AC50" s="91"/>
      <c r="AD50" s="22"/>
      <c r="AE50" s="12"/>
      <c r="AF50" s="91"/>
      <c r="AG50" s="21"/>
      <c r="AH50" s="10"/>
      <c r="AI50" s="91"/>
      <c r="AJ50" s="23"/>
    </row>
    <row r="51" spans="1:36" ht="15.6">
      <c r="A51" s="8"/>
      <c r="B51" s="91"/>
      <c r="C51" s="21"/>
      <c r="D51" s="10"/>
      <c r="E51" s="91"/>
      <c r="F51" s="22"/>
      <c r="G51" s="12"/>
      <c r="H51" s="91"/>
      <c r="I51" s="21"/>
      <c r="J51" s="10"/>
      <c r="K51" s="91"/>
      <c r="L51" s="22"/>
      <c r="M51" s="12"/>
      <c r="N51" s="91"/>
      <c r="O51" s="21"/>
      <c r="P51" s="10"/>
      <c r="Q51" s="91"/>
      <c r="R51" s="22"/>
      <c r="S51" s="12"/>
      <c r="T51" s="91"/>
      <c r="U51" s="21"/>
      <c r="V51" s="10"/>
      <c r="W51" s="91"/>
      <c r="X51" s="22"/>
      <c r="Y51" s="12"/>
      <c r="Z51" s="91"/>
      <c r="AA51" s="21"/>
      <c r="AB51" s="10"/>
      <c r="AC51" s="91"/>
      <c r="AD51" s="22"/>
      <c r="AE51" s="12"/>
      <c r="AF51" s="91"/>
      <c r="AG51" s="21"/>
      <c r="AH51" s="10"/>
      <c r="AI51" s="91"/>
      <c r="AJ51" s="23"/>
    </row>
    <row r="52" spans="1:36" ht="15.6">
      <c r="A52" s="8"/>
      <c r="B52" s="91"/>
      <c r="C52" s="21"/>
      <c r="D52" s="10"/>
      <c r="E52" s="91"/>
      <c r="F52" s="22"/>
      <c r="G52" s="12"/>
      <c r="H52" s="91"/>
      <c r="I52" s="21"/>
      <c r="J52" s="10"/>
      <c r="K52" s="91"/>
      <c r="L52" s="22"/>
      <c r="M52" s="12"/>
      <c r="N52" s="91"/>
      <c r="O52" s="21"/>
      <c r="P52" s="10"/>
      <c r="Q52" s="91"/>
      <c r="R52" s="22"/>
      <c r="S52" s="12"/>
      <c r="T52" s="91"/>
      <c r="U52" s="21"/>
      <c r="V52" s="10"/>
      <c r="W52" s="91"/>
      <c r="X52" s="22"/>
      <c r="Y52" s="12"/>
      <c r="Z52" s="91"/>
      <c r="AA52" s="21"/>
      <c r="AB52" s="10"/>
      <c r="AC52" s="91"/>
      <c r="AD52" s="22"/>
      <c r="AE52" s="12"/>
      <c r="AF52" s="91"/>
      <c r="AG52" s="21"/>
      <c r="AH52" s="10"/>
      <c r="AI52" s="91"/>
      <c r="AJ52" s="23"/>
    </row>
    <row r="53" spans="1:36" ht="15.6">
      <c r="A53" s="8"/>
      <c r="B53" s="91"/>
      <c r="C53" s="21"/>
      <c r="D53" s="10"/>
      <c r="E53" s="91"/>
      <c r="F53" s="22"/>
      <c r="G53" s="12"/>
      <c r="H53" s="91"/>
      <c r="I53" s="21"/>
      <c r="J53" s="10"/>
      <c r="K53" s="91"/>
      <c r="L53" s="22"/>
      <c r="M53" s="12"/>
      <c r="N53" s="91"/>
      <c r="O53" s="21"/>
      <c r="P53" s="10"/>
      <c r="Q53" s="91"/>
      <c r="R53" s="22"/>
      <c r="S53" s="12"/>
      <c r="T53" s="91"/>
      <c r="U53" s="21"/>
      <c r="V53" s="10"/>
      <c r="W53" s="91"/>
      <c r="X53" s="22"/>
      <c r="Y53" s="12"/>
      <c r="Z53" s="91"/>
      <c r="AA53" s="21"/>
      <c r="AB53" s="10"/>
      <c r="AC53" s="91"/>
      <c r="AD53" s="22"/>
      <c r="AE53" s="12"/>
      <c r="AF53" s="91"/>
      <c r="AG53" s="21"/>
      <c r="AH53" s="10"/>
      <c r="AI53" s="91"/>
      <c r="AJ53" s="23"/>
    </row>
    <row r="54" spans="1:36" ht="15.6">
      <c r="A54" s="8"/>
      <c r="B54" s="91"/>
      <c r="C54" s="21"/>
      <c r="D54" s="10"/>
      <c r="E54" s="91"/>
      <c r="F54" s="22"/>
      <c r="G54" s="12"/>
      <c r="H54" s="91"/>
      <c r="I54" s="21"/>
      <c r="J54" s="10"/>
      <c r="K54" s="91"/>
      <c r="L54" s="22"/>
      <c r="M54" s="12"/>
      <c r="N54" s="91"/>
      <c r="O54" s="21"/>
      <c r="P54" s="10"/>
      <c r="Q54" s="91"/>
      <c r="R54" s="22"/>
      <c r="S54" s="12"/>
      <c r="T54" s="91"/>
      <c r="U54" s="21"/>
      <c r="V54" s="10"/>
      <c r="W54" s="91"/>
      <c r="X54" s="22"/>
      <c r="Y54" s="12"/>
      <c r="Z54" s="91"/>
      <c r="AA54" s="21"/>
      <c r="AB54" s="10"/>
      <c r="AC54" s="91"/>
      <c r="AD54" s="22"/>
      <c r="AE54" s="12"/>
      <c r="AF54" s="91"/>
      <c r="AG54" s="21"/>
      <c r="AH54" s="10"/>
      <c r="AI54" s="91"/>
      <c r="AJ54" s="23"/>
    </row>
    <row r="55" spans="1:36" ht="15.6">
      <c r="A55" s="8"/>
      <c r="B55" s="91"/>
      <c r="C55" s="21"/>
      <c r="D55" s="10"/>
      <c r="E55" s="91"/>
      <c r="F55" s="22"/>
      <c r="G55" s="12"/>
      <c r="H55" s="91"/>
      <c r="I55" s="21"/>
      <c r="J55" s="10"/>
      <c r="K55" s="91"/>
      <c r="L55" s="22"/>
      <c r="M55" s="12"/>
      <c r="N55" s="91"/>
      <c r="O55" s="21"/>
      <c r="P55" s="10"/>
      <c r="Q55" s="91"/>
      <c r="R55" s="22"/>
      <c r="S55" s="12"/>
      <c r="T55" s="91"/>
      <c r="U55" s="21"/>
      <c r="V55" s="10"/>
      <c r="W55" s="91"/>
      <c r="X55" s="22"/>
      <c r="Y55" s="12"/>
      <c r="Z55" s="91"/>
      <c r="AA55" s="21"/>
      <c r="AB55" s="10"/>
      <c r="AC55" s="91"/>
      <c r="AD55" s="22"/>
      <c r="AE55" s="12"/>
      <c r="AF55" s="91"/>
      <c r="AG55" s="21"/>
      <c r="AH55" s="10"/>
      <c r="AI55" s="91"/>
      <c r="AJ55" s="23"/>
    </row>
    <row r="56" spans="1:36" ht="15.6">
      <c r="A56" s="8"/>
      <c r="B56" s="91"/>
      <c r="C56" s="21"/>
      <c r="D56" s="10"/>
      <c r="E56" s="91"/>
      <c r="F56" s="22"/>
      <c r="G56" s="12"/>
      <c r="H56" s="91"/>
      <c r="I56" s="21"/>
      <c r="J56" s="10"/>
      <c r="K56" s="91"/>
      <c r="L56" s="22"/>
      <c r="M56" s="12"/>
      <c r="N56" s="91"/>
      <c r="O56" s="21"/>
      <c r="P56" s="10"/>
      <c r="Q56" s="91"/>
      <c r="R56" s="22"/>
      <c r="S56" s="12"/>
      <c r="T56" s="91"/>
      <c r="U56" s="21"/>
      <c r="V56" s="10"/>
      <c r="W56" s="91"/>
      <c r="X56" s="22"/>
      <c r="Y56" s="12"/>
      <c r="Z56" s="91"/>
      <c r="AA56" s="21"/>
      <c r="AB56" s="10"/>
      <c r="AC56" s="91"/>
      <c r="AD56" s="22"/>
      <c r="AE56" s="12"/>
      <c r="AF56" s="91"/>
      <c r="AG56" s="21"/>
      <c r="AH56" s="10"/>
      <c r="AI56" s="91"/>
      <c r="AJ56" s="23"/>
    </row>
    <row r="57" spans="1:36" ht="15.6">
      <c r="A57" s="8"/>
      <c r="B57" s="91"/>
      <c r="C57" s="21"/>
      <c r="D57" s="10"/>
      <c r="E57" s="91"/>
      <c r="F57" s="22"/>
      <c r="G57" s="12"/>
      <c r="H57" s="91"/>
      <c r="I57" s="21"/>
      <c r="J57" s="10"/>
      <c r="K57" s="91"/>
      <c r="L57" s="22"/>
      <c r="M57" s="12"/>
      <c r="N57" s="91"/>
      <c r="O57" s="21"/>
      <c r="P57" s="10"/>
      <c r="Q57" s="91"/>
      <c r="R57" s="22"/>
      <c r="S57" s="12"/>
      <c r="T57" s="91"/>
      <c r="U57" s="21"/>
      <c r="V57" s="10"/>
      <c r="W57" s="91"/>
      <c r="X57" s="22"/>
      <c r="Y57" s="12"/>
      <c r="Z57" s="91"/>
      <c r="AA57" s="21"/>
      <c r="AB57" s="10"/>
      <c r="AC57" s="91"/>
      <c r="AD57" s="22"/>
      <c r="AE57" s="12"/>
      <c r="AF57" s="91"/>
      <c r="AG57" s="21"/>
      <c r="AH57" s="10"/>
      <c r="AI57" s="91"/>
      <c r="AJ57" s="23"/>
    </row>
    <row r="58" spans="1:36" ht="15.6">
      <c r="A58" s="8"/>
      <c r="B58" s="91"/>
      <c r="C58" s="21"/>
      <c r="D58" s="10"/>
      <c r="E58" s="91"/>
      <c r="F58" s="22"/>
      <c r="G58" s="12"/>
      <c r="H58" s="91"/>
      <c r="I58" s="21"/>
      <c r="J58" s="10"/>
      <c r="K58" s="91"/>
      <c r="L58" s="22"/>
      <c r="M58" s="12"/>
      <c r="N58" s="91"/>
      <c r="O58" s="21"/>
      <c r="P58" s="10"/>
      <c r="Q58" s="91"/>
      <c r="R58" s="22"/>
      <c r="S58" s="12"/>
      <c r="T58" s="91"/>
      <c r="U58" s="21"/>
      <c r="V58" s="10"/>
      <c r="W58" s="91"/>
      <c r="X58" s="22"/>
      <c r="Y58" s="12"/>
      <c r="Z58" s="91"/>
      <c r="AA58" s="21"/>
      <c r="AB58" s="10"/>
      <c r="AC58" s="91"/>
      <c r="AD58" s="22"/>
      <c r="AE58" s="12"/>
      <c r="AF58" s="91"/>
      <c r="AG58" s="21"/>
      <c r="AH58" s="10"/>
      <c r="AI58" s="91"/>
      <c r="AJ58" s="23"/>
    </row>
    <row r="59" spans="1:36" ht="15.6">
      <c r="A59" s="8"/>
      <c r="B59" s="91"/>
      <c r="C59" s="21"/>
      <c r="D59" s="10"/>
      <c r="E59" s="91"/>
      <c r="F59" s="22"/>
      <c r="G59" s="12"/>
      <c r="H59" s="91"/>
      <c r="I59" s="21"/>
      <c r="J59" s="10"/>
      <c r="K59" s="91"/>
      <c r="L59" s="22"/>
      <c r="M59" s="12"/>
      <c r="N59" s="91"/>
      <c r="O59" s="21"/>
      <c r="P59" s="10"/>
      <c r="Q59" s="91"/>
      <c r="R59" s="22"/>
      <c r="S59" s="12"/>
      <c r="T59" s="91"/>
      <c r="U59" s="21"/>
      <c r="V59" s="10"/>
      <c r="W59" s="91"/>
      <c r="X59" s="22"/>
      <c r="Y59" s="12"/>
      <c r="Z59" s="91"/>
      <c r="AA59" s="21"/>
      <c r="AB59" s="10"/>
      <c r="AC59" s="91"/>
      <c r="AD59" s="22"/>
      <c r="AE59" s="12"/>
      <c r="AF59" s="91"/>
      <c r="AG59" s="21"/>
      <c r="AH59" s="10"/>
      <c r="AI59" s="91"/>
      <c r="AJ59" s="23"/>
    </row>
    <row r="60" spans="1:36" ht="16.2" thickBot="1">
      <c r="A60" s="111" t="s">
        <v>16</v>
      </c>
      <c r="B60" s="110"/>
      <c r="C60" s="32">
        <f>SUM(C12:C59)</f>
        <v>0</v>
      </c>
      <c r="D60" s="109" t="str">
        <f>A60</f>
        <v>Summe -</v>
      </c>
      <c r="E60" s="110"/>
      <c r="F60" s="34">
        <f>SUM(F12:F59)</f>
        <v>0</v>
      </c>
      <c r="G60" s="109" t="str">
        <f>A60</f>
        <v>Summe -</v>
      </c>
      <c r="H60" s="110"/>
      <c r="I60" s="32">
        <f>SUM(I12:I59)</f>
        <v>0</v>
      </c>
      <c r="J60" s="109" t="str">
        <f>A60</f>
        <v>Summe -</v>
      </c>
      <c r="K60" s="110"/>
      <c r="L60" s="34">
        <f>SUM(L12:L59)</f>
        <v>0</v>
      </c>
      <c r="M60" s="109" t="str">
        <f>A60</f>
        <v>Summe -</v>
      </c>
      <c r="N60" s="110"/>
      <c r="O60" s="32">
        <f>SUM(O12:O59)</f>
        <v>0</v>
      </c>
      <c r="P60" s="109" t="str">
        <f>A60</f>
        <v>Summe -</v>
      </c>
      <c r="Q60" s="110"/>
      <c r="R60" s="34">
        <f>SUM(R12:R59)</f>
        <v>0</v>
      </c>
      <c r="S60" s="109" t="str">
        <f>A60</f>
        <v>Summe -</v>
      </c>
      <c r="T60" s="110"/>
      <c r="U60" s="32">
        <f>SUM(U12:U59)</f>
        <v>0</v>
      </c>
      <c r="V60" s="109" t="str">
        <f>A60</f>
        <v>Summe -</v>
      </c>
      <c r="W60" s="110"/>
      <c r="X60" s="34">
        <f>SUM(X12:X59)</f>
        <v>0</v>
      </c>
      <c r="Y60" s="109" t="str">
        <f>A60</f>
        <v>Summe -</v>
      </c>
      <c r="Z60" s="110"/>
      <c r="AA60" s="32">
        <f>SUM(AA12:AA59)</f>
        <v>0</v>
      </c>
      <c r="AB60" s="109" t="str">
        <f>A60</f>
        <v>Summe -</v>
      </c>
      <c r="AC60" s="110"/>
      <c r="AD60" s="34">
        <f>SUM(AD12:AD59)</f>
        <v>0</v>
      </c>
      <c r="AE60" s="109" t="str">
        <f>A60</f>
        <v>Summe -</v>
      </c>
      <c r="AF60" s="110"/>
      <c r="AG60" s="32">
        <f>SUM(AG12:AG59)</f>
        <v>0</v>
      </c>
      <c r="AH60" s="109" t="str">
        <f>A60</f>
        <v>Summe -</v>
      </c>
      <c r="AI60" s="110"/>
      <c r="AJ60" s="36">
        <f>SUM(AJ12:AJ59)</f>
        <v>0</v>
      </c>
    </row>
    <row r="61" spans="1:36" ht="15.6">
      <c r="A61" s="8"/>
      <c r="B61" s="91"/>
      <c r="C61" s="21"/>
      <c r="D61" s="10"/>
      <c r="E61" s="91"/>
      <c r="F61" s="22"/>
      <c r="G61" s="12"/>
      <c r="H61" s="91"/>
      <c r="I61" s="21"/>
      <c r="J61" s="10"/>
      <c r="K61" s="91"/>
      <c r="L61" s="22"/>
      <c r="M61" s="12"/>
      <c r="N61" s="91"/>
      <c r="O61" s="21"/>
      <c r="P61" s="10"/>
      <c r="Q61" s="91"/>
      <c r="R61" s="22"/>
      <c r="S61" s="12"/>
      <c r="T61" s="91"/>
      <c r="U61" s="21"/>
      <c r="V61" s="10"/>
      <c r="W61" s="91"/>
      <c r="X61" s="22"/>
      <c r="Y61" s="12"/>
      <c r="Z61" s="91"/>
      <c r="AA61" s="21"/>
      <c r="AB61" s="10"/>
      <c r="AC61" s="91"/>
      <c r="AD61" s="22"/>
      <c r="AE61" s="12"/>
      <c r="AF61" s="91"/>
      <c r="AG61" s="21"/>
      <c r="AH61" s="10"/>
      <c r="AI61" s="91"/>
      <c r="AJ61" s="23"/>
    </row>
    <row r="62" spans="1:36" ht="15.6">
      <c r="A62" s="8"/>
      <c r="B62" s="91"/>
      <c r="C62" s="21"/>
      <c r="D62" s="10"/>
      <c r="E62" s="91"/>
      <c r="F62" s="22"/>
      <c r="G62" s="12"/>
      <c r="H62" s="91"/>
      <c r="I62" s="21"/>
      <c r="J62" s="10"/>
      <c r="K62" s="91"/>
      <c r="L62" s="22"/>
      <c r="M62" s="12"/>
      <c r="N62" s="91"/>
      <c r="O62" s="21"/>
      <c r="P62" s="10"/>
      <c r="Q62" s="91"/>
      <c r="R62" s="22"/>
      <c r="S62" s="12"/>
      <c r="T62" s="91"/>
      <c r="U62" s="21"/>
      <c r="V62" s="10"/>
      <c r="W62" s="91"/>
      <c r="X62" s="22"/>
      <c r="Y62" s="12"/>
      <c r="Z62" s="91"/>
      <c r="AA62" s="21"/>
      <c r="AB62" s="10"/>
      <c r="AC62" s="91"/>
      <c r="AD62" s="22"/>
      <c r="AE62" s="12"/>
      <c r="AF62" s="91"/>
      <c r="AG62" s="21"/>
      <c r="AH62" s="10"/>
      <c r="AI62" s="91"/>
      <c r="AJ62" s="23"/>
    </row>
    <row r="63" spans="1:36" ht="15.6">
      <c r="A63" s="8"/>
      <c r="B63" s="91"/>
      <c r="C63" s="21"/>
      <c r="D63" s="10"/>
      <c r="E63" s="91"/>
      <c r="F63" s="22"/>
      <c r="G63" s="12"/>
      <c r="H63" s="91"/>
      <c r="I63" s="21"/>
      <c r="J63" s="10"/>
      <c r="K63" s="91"/>
      <c r="L63" s="22"/>
      <c r="M63" s="12"/>
      <c r="N63" s="91"/>
      <c r="O63" s="21"/>
      <c r="P63" s="10"/>
      <c r="Q63" s="91"/>
      <c r="R63" s="22"/>
      <c r="S63" s="12"/>
      <c r="T63" s="91"/>
      <c r="U63" s="21"/>
      <c r="V63" s="10"/>
      <c r="W63" s="91"/>
      <c r="X63" s="22"/>
      <c r="Y63" s="12"/>
      <c r="Z63" s="91"/>
      <c r="AA63" s="21"/>
      <c r="AB63" s="10"/>
      <c r="AC63" s="91"/>
      <c r="AD63" s="22"/>
      <c r="AE63" s="12"/>
      <c r="AF63" s="91"/>
      <c r="AG63" s="21"/>
      <c r="AH63" s="10"/>
      <c r="AI63" s="91"/>
      <c r="AJ63" s="23"/>
    </row>
    <row r="64" spans="1:36" ht="15.6">
      <c r="A64" s="8"/>
      <c r="B64" s="91"/>
      <c r="C64" s="21"/>
      <c r="D64" s="10"/>
      <c r="E64" s="91"/>
      <c r="F64" s="22"/>
      <c r="G64" s="12"/>
      <c r="H64" s="91"/>
      <c r="I64" s="21"/>
      <c r="J64" s="10"/>
      <c r="K64" s="91"/>
      <c r="L64" s="22"/>
      <c r="M64" s="12"/>
      <c r="N64" s="91"/>
      <c r="O64" s="21"/>
      <c r="P64" s="10"/>
      <c r="Q64" s="91"/>
      <c r="R64" s="22"/>
      <c r="S64" s="12"/>
      <c r="T64" s="91"/>
      <c r="U64" s="21"/>
      <c r="V64" s="10"/>
      <c r="W64" s="91"/>
      <c r="X64" s="22"/>
      <c r="Y64" s="12"/>
      <c r="Z64" s="91"/>
      <c r="AA64" s="21"/>
      <c r="AB64" s="10"/>
      <c r="AC64" s="91"/>
      <c r="AD64" s="22"/>
      <c r="AE64" s="12"/>
      <c r="AF64" s="91"/>
      <c r="AG64" s="21"/>
      <c r="AH64" s="10"/>
      <c r="AI64" s="91"/>
      <c r="AJ64" s="23"/>
    </row>
    <row r="65" spans="1:36" ht="15.6">
      <c r="A65" s="8"/>
      <c r="B65" s="91"/>
      <c r="C65" s="21"/>
      <c r="D65" s="10"/>
      <c r="E65" s="91"/>
      <c r="F65" s="22"/>
      <c r="G65" s="12"/>
      <c r="H65" s="91"/>
      <c r="I65" s="21"/>
      <c r="J65" s="10"/>
      <c r="K65" s="91"/>
      <c r="L65" s="22"/>
      <c r="M65" s="12"/>
      <c r="N65" s="91"/>
      <c r="O65" s="21"/>
      <c r="P65" s="10"/>
      <c r="Q65" s="91"/>
      <c r="R65" s="22"/>
      <c r="S65" s="12"/>
      <c r="T65" s="91"/>
      <c r="U65" s="21"/>
      <c r="V65" s="10"/>
      <c r="W65" s="91"/>
      <c r="X65" s="22"/>
      <c r="Y65" s="12"/>
      <c r="Z65" s="91"/>
      <c r="AA65" s="21"/>
      <c r="AB65" s="10"/>
      <c r="AC65" s="91"/>
      <c r="AD65" s="22"/>
      <c r="AE65" s="12"/>
      <c r="AF65" s="91"/>
      <c r="AG65" s="21"/>
      <c r="AH65" s="10"/>
      <c r="AI65" s="91"/>
      <c r="AJ65" s="23"/>
    </row>
    <row r="66" spans="1:36" ht="15.6">
      <c r="A66" s="8"/>
      <c r="B66" s="91"/>
      <c r="C66" s="21"/>
      <c r="D66" s="10"/>
      <c r="E66" s="91"/>
      <c r="F66" s="22"/>
      <c r="G66" s="12"/>
      <c r="H66" s="91"/>
      <c r="I66" s="21"/>
      <c r="J66" s="10"/>
      <c r="K66" s="91"/>
      <c r="L66" s="22"/>
      <c r="M66" s="12"/>
      <c r="N66" s="91"/>
      <c r="O66" s="21"/>
      <c r="P66" s="10"/>
      <c r="Q66" s="91"/>
      <c r="R66" s="22"/>
      <c r="S66" s="12"/>
      <c r="T66" s="91"/>
      <c r="U66" s="21"/>
      <c r="V66" s="10"/>
      <c r="W66" s="91"/>
      <c r="X66" s="22"/>
      <c r="Y66" s="12"/>
      <c r="Z66" s="91"/>
      <c r="AA66" s="21"/>
      <c r="AB66" s="10"/>
      <c r="AC66" s="91"/>
      <c r="AD66" s="22"/>
      <c r="AE66" s="12"/>
      <c r="AF66" s="91"/>
      <c r="AG66" s="21"/>
      <c r="AH66" s="10"/>
      <c r="AI66" s="91"/>
      <c r="AJ66" s="23"/>
    </row>
    <row r="67" spans="1:36" ht="15.6">
      <c r="A67" s="8"/>
      <c r="B67" s="91"/>
      <c r="C67" s="21"/>
      <c r="D67" s="10"/>
      <c r="E67" s="91"/>
      <c r="F67" s="22"/>
      <c r="G67" s="12"/>
      <c r="H67" s="91"/>
      <c r="I67" s="21"/>
      <c r="J67" s="10"/>
      <c r="K67" s="91"/>
      <c r="L67" s="22"/>
      <c r="M67" s="12"/>
      <c r="N67" s="91"/>
      <c r="O67" s="21"/>
      <c r="P67" s="10"/>
      <c r="Q67" s="91"/>
      <c r="R67" s="22"/>
      <c r="S67" s="12"/>
      <c r="T67" s="91"/>
      <c r="U67" s="21"/>
      <c r="V67" s="10"/>
      <c r="W67" s="91"/>
      <c r="X67" s="22"/>
      <c r="Y67" s="12"/>
      <c r="Z67" s="91"/>
      <c r="AA67" s="21"/>
      <c r="AB67" s="10"/>
      <c r="AC67" s="91"/>
      <c r="AD67" s="22"/>
      <c r="AE67" s="12"/>
      <c r="AF67" s="91"/>
      <c r="AG67" s="21"/>
      <c r="AH67" s="10"/>
      <c r="AI67" s="91"/>
      <c r="AJ67" s="23"/>
    </row>
    <row r="68" spans="1:36" ht="15.6">
      <c r="A68" s="8"/>
      <c r="B68" s="91"/>
      <c r="C68" s="21"/>
      <c r="D68" s="10"/>
      <c r="E68" s="91"/>
      <c r="F68" s="22"/>
      <c r="G68" s="12"/>
      <c r="H68" s="91"/>
      <c r="I68" s="21"/>
      <c r="J68" s="10"/>
      <c r="K68" s="91"/>
      <c r="L68" s="22"/>
      <c r="M68" s="12"/>
      <c r="N68" s="91"/>
      <c r="O68" s="21"/>
      <c r="P68" s="10"/>
      <c r="Q68" s="91"/>
      <c r="R68" s="22"/>
      <c r="S68" s="12"/>
      <c r="T68" s="91"/>
      <c r="U68" s="21"/>
      <c r="V68" s="10"/>
      <c r="W68" s="91"/>
      <c r="X68" s="22"/>
      <c r="Y68" s="12"/>
      <c r="Z68" s="91"/>
      <c r="AA68" s="21"/>
      <c r="AB68" s="10"/>
      <c r="AC68" s="91"/>
      <c r="AD68" s="22"/>
      <c r="AE68" s="12"/>
      <c r="AF68" s="91"/>
      <c r="AG68" s="21"/>
      <c r="AH68" s="10"/>
      <c r="AI68" s="91"/>
      <c r="AJ68" s="23"/>
    </row>
    <row r="69" spans="1:36" ht="15.6">
      <c r="A69" s="8"/>
      <c r="B69" s="91"/>
      <c r="C69" s="21"/>
      <c r="D69" s="10"/>
      <c r="E69" s="91"/>
      <c r="F69" s="22"/>
      <c r="G69" s="12"/>
      <c r="H69" s="91"/>
      <c r="I69" s="21"/>
      <c r="J69" s="10"/>
      <c r="K69" s="91"/>
      <c r="L69" s="22"/>
      <c r="M69" s="12"/>
      <c r="N69" s="91"/>
      <c r="O69" s="21"/>
      <c r="P69" s="10"/>
      <c r="Q69" s="91"/>
      <c r="R69" s="22"/>
      <c r="S69" s="12"/>
      <c r="T69" s="91"/>
      <c r="U69" s="21"/>
      <c r="V69" s="10"/>
      <c r="W69" s="91"/>
      <c r="X69" s="22"/>
      <c r="Y69" s="12"/>
      <c r="Z69" s="91"/>
      <c r="AA69" s="21"/>
      <c r="AB69" s="10"/>
      <c r="AC69" s="91"/>
      <c r="AD69" s="22"/>
      <c r="AE69" s="12"/>
      <c r="AF69" s="91"/>
      <c r="AG69" s="21"/>
      <c r="AH69" s="10"/>
      <c r="AI69" s="91"/>
      <c r="AJ69" s="23"/>
    </row>
    <row r="70" spans="1:36" ht="15.6">
      <c r="A70" s="8"/>
      <c r="B70" s="91"/>
      <c r="C70" s="21"/>
      <c r="D70" s="10"/>
      <c r="E70" s="91"/>
      <c r="F70" s="22"/>
      <c r="G70" s="12"/>
      <c r="H70" s="91"/>
      <c r="I70" s="21"/>
      <c r="J70" s="10"/>
      <c r="K70" s="91"/>
      <c r="L70" s="22"/>
      <c r="M70" s="12"/>
      <c r="N70" s="91"/>
      <c r="O70" s="21"/>
      <c r="P70" s="10"/>
      <c r="Q70" s="91"/>
      <c r="R70" s="22"/>
      <c r="S70" s="12"/>
      <c r="T70" s="91"/>
      <c r="U70" s="21"/>
      <c r="V70" s="10"/>
      <c r="W70" s="91"/>
      <c r="X70" s="22"/>
      <c r="Y70" s="12"/>
      <c r="Z70" s="91"/>
      <c r="AA70" s="21"/>
      <c r="AB70" s="10"/>
      <c r="AC70" s="91"/>
      <c r="AD70" s="22"/>
      <c r="AE70" s="12"/>
      <c r="AF70" s="91"/>
      <c r="AG70" s="21"/>
      <c r="AH70" s="10"/>
      <c r="AI70" s="91"/>
      <c r="AJ70" s="23"/>
    </row>
    <row r="71" spans="1:36" ht="15.6">
      <c r="A71" s="8"/>
      <c r="B71" s="91"/>
      <c r="C71" s="21"/>
      <c r="D71" s="10"/>
      <c r="E71" s="91"/>
      <c r="F71" s="22"/>
      <c r="G71" s="12"/>
      <c r="H71" s="91"/>
      <c r="I71" s="21"/>
      <c r="J71" s="10"/>
      <c r="K71" s="91"/>
      <c r="L71" s="22"/>
      <c r="M71" s="12"/>
      <c r="N71" s="91"/>
      <c r="O71" s="21"/>
      <c r="P71" s="10"/>
      <c r="Q71" s="91"/>
      <c r="R71" s="22"/>
      <c r="S71" s="12"/>
      <c r="T71" s="91"/>
      <c r="U71" s="21"/>
      <c r="V71" s="10"/>
      <c r="W71" s="91"/>
      <c r="X71" s="22"/>
      <c r="Y71" s="12"/>
      <c r="Z71" s="91"/>
      <c r="AA71" s="21"/>
      <c r="AB71" s="10"/>
      <c r="AC71" s="91"/>
      <c r="AD71" s="22"/>
      <c r="AE71" s="12"/>
      <c r="AF71" s="91"/>
      <c r="AG71" s="21"/>
      <c r="AH71" s="10"/>
      <c r="AI71" s="91"/>
      <c r="AJ71" s="23"/>
    </row>
    <row r="72" spans="1:36" ht="15.6">
      <c r="A72" s="8"/>
      <c r="B72" s="91"/>
      <c r="C72" s="21"/>
      <c r="D72" s="10"/>
      <c r="E72" s="91"/>
      <c r="F72" s="22"/>
      <c r="G72" s="12"/>
      <c r="H72" s="91"/>
      <c r="I72" s="21"/>
      <c r="J72" s="10"/>
      <c r="K72" s="91"/>
      <c r="L72" s="22"/>
      <c r="M72" s="12"/>
      <c r="N72" s="91"/>
      <c r="O72" s="21"/>
      <c r="P72" s="10"/>
      <c r="Q72" s="91"/>
      <c r="R72" s="22"/>
      <c r="S72" s="12"/>
      <c r="T72" s="91"/>
      <c r="U72" s="21"/>
      <c r="V72" s="10"/>
      <c r="W72" s="91"/>
      <c r="X72" s="22"/>
      <c r="Y72" s="12"/>
      <c r="Z72" s="91"/>
      <c r="AA72" s="21"/>
      <c r="AB72" s="10"/>
      <c r="AC72" s="91"/>
      <c r="AD72" s="22"/>
      <c r="AE72" s="12"/>
      <c r="AF72" s="91"/>
      <c r="AG72" s="21"/>
      <c r="AH72" s="10"/>
      <c r="AI72" s="91"/>
      <c r="AJ72" s="23"/>
    </row>
    <row r="73" spans="1:36" ht="15.6">
      <c r="A73" s="8"/>
      <c r="B73" s="91"/>
      <c r="C73" s="21"/>
      <c r="D73" s="10"/>
      <c r="E73" s="91"/>
      <c r="F73" s="22"/>
      <c r="G73" s="12"/>
      <c r="H73" s="91"/>
      <c r="I73" s="21"/>
      <c r="J73" s="10"/>
      <c r="K73" s="91"/>
      <c r="L73" s="22"/>
      <c r="M73" s="12"/>
      <c r="N73" s="91"/>
      <c r="O73" s="21"/>
      <c r="P73" s="10"/>
      <c r="Q73" s="91"/>
      <c r="R73" s="22"/>
      <c r="S73" s="12"/>
      <c r="T73" s="91"/>
      <c r="U73" s="21"/>
      <c r="V73" s="10"/>
      <c r="W73" s="91"/>
      <c r="X73" s="22"/>
      <c r="Y73" s="12"/>
      <c r="Z73" s="91"/>
      <c r="AA73" s="21"/>
      <c r="AB73" s="10"/>
      <c r="AC73" s="91"/>
      <c r="AD73" s="22"/>
      <c r="AE73" s="12"/>
      <c r="AF73" s="91"/>
      <c r="AG73" s="21"/>
      <c r="AH73" s="10"/>
      <c r="AI73" s="91"/>
      <c r="AJ73" s="23"/>
    </row>
    <row r="74" spans="1:36" ht="15.6">
      <c r="A74" s="8"/>
      <c r="B74" s="91"/>
      <c r="C74" s="21"/>
      <c r="D74" s="10"/>
      <c r="E74" s="91"/>
      <c r="F74" s="22"/>
      <c r="G74" s="12"/>
      <c r="H74" s="91"/>
      <c r="I74" s="21"/>
      <c r="J74" s="10"/>
      <c r="K74" s="91"/>
      <c r="L74" s="22"/>
      <c r="M74" s="12"/>
      <c r="N74" s="91"/>
      <c r="O74" s="21"/>
      <c r="P74" s="10"/>
      <c r="Q74" s="91"/>
      <c r="R74" s="22"/>
      <c r="S74" s="12"/>
      <c r="T74" s="91"/>
      <c r="U74" s="21"/>
      <c r="V74" s="10"/>
      <c r="W74" s="91"/>
      <c r="X74" s="22"/>
      <c r="Y74" s="12"/>
      <c r="Z74" s="91"/>
      <c r="AA74" s="21"/>
      <c r="AB74" s="10"/>
      <c r="AC74" s="91"/>
      <c r="AD74" s="22"/>
      <c r="AE74" s="12"/>
      <c r="AF74" s="91"/>
      <c r="AG74" s="21"/>
      <c r="AH74" s="10"/>
      <c r="AI74" s="91"/>
      <c r="AJ74" s="23"/>
    </row>
    <row r="75" spans="1:36" ht="15.6">
      <c r="A75" s="8"/>
      <c r="B75" s="91"/>
      <c r="C75" s="21"/>
      <c r="D75" s="10"/>
      <c r="E75" s="91"/>
      <c r="F75" s="22"/>
      <c r="G75" s="12"/>
      <c r="H75" s="91"/>
      <c r="I75" s="21"/>
      <c r="J75" s="10"/>
      <c r="K75" s="91"/>
      <c r="L75" s="22"/>
      <c r="M75" s="12"/>
      <c r="N75" s="91"/>
      <c r="O75" s="21"/>
      <c r="P75" s="10"/>
      <c r="Q75" s="91"/>
      <c r="R75" s="22"/>
      <c r="S75" s="12"/>
      <c r="T75" s="91"/>
      <c r="U75" s="21"/>
      <c r="V75" s="10"/>
      <c r="W75" s="91"/>
      <c r="X75" s="22"/>
      <c r="Y75" s="12"/>
      <c r="Z75" s="91"/>
      <c r="AA75" s="21"/>
      <c r="AB75" s="10"/>
      <c r="AC75" s="91"/>
      <c r="AD75" s="22"/>
      <c r="AE75" s="12"/>
      <c r="AF75" s="91"/>
      <c r="AG75" s="21"/>
      <c r="AH75" s="10"/>
      <c r="AI75" s="91"/>
      <c r="AJ75" s="23"/>
    </row>
    <row r="76" spans="1:36" ht="15.6">
      <c r="A76" s="8"/>
      <c r="B76" s="91"/>
      <c r="C76" s="21"/>
      <c r="D76" s="10"/>
      <c r="E76" s="91"/>
      <c r="F76" s="22"/>
      <c r="G76" s="12"/>
      <c r="H76" s="91"/>
      <c r="I76" s="21"/>
      <c r="J76" s="10"/>
      <c r="K76" s="91"/>
      <c r="L76" s="22"/>
      <c r="M76" s="12"/>
      <c r="N76" s="91"/>
      <c r="O76" s="21"/>
      <c r="P76" s="10"/>
      <c r="Q76" s="91"/>
      <c r="R76" s="22"/>
      <c r="S76" s="12"/>
      <c r="T76" s="91"/>
      <c r="U76" s="21"/>
      <c r="V76" s="10"/>
      <c r="W76" s="91"/>
      <c r="X76" s="22"/>
      <c r="Y76" s="12"/>
      <c r="Z76" s="91"/>
      <c r="AA76" s="21"/>
      <c r="AB76" s="10"/>
      <c r="AC76" s="91"/>
      <c r="AD76" s="22"/>
      <c r="AE76" s="12"/>
      <c r="AF76" s="91"/>
      <c r="AG76" s="21"/>
      <c r="AH76" s="10"/>
      <c r="AI76" s="91"/>
      <c r="AJ76" s="23"/>
    </row>
    <row r="77" spans="1:36" ht="15.6">
      <c r="A77" s="8"/>
      <c r="B77" s="91"/>
      <c r="C77" s="21"/>
      <c r="D77" s="10"/>
      <c r="E77" s="91"/>
      <c r="F77" s="22"/>
      <c r="G77" s="12"/>
      <c r="H77" s="91"/>
      <c r="I77" s="21"/>
      <c r="J77" s="10"/>
      <c r="K77" s="91"/>
      <c r="L77" s="22"/>
      <c r="M77" s="12"/>
      <c r="N77" s="91"/>
      <c r="O77" s="21"/>
      <c r="P77" s="10"/>
      <c r="Q77" s="91"/>
      <c r="R77" s="22"/>
      <c r="S77" s="12"/>
      <c r="T77" s="91"/>
      <c r="U77" s="21"/>
      <c r="V77" s="10"/>
      <c r="W77" s="91"/>
      <c r="X77" s="22"/>
      <c r="Y77" s="12"/>
      <c r="Z77" s="91"/>
      <c r="AA77" s="21"/>
      <c r="AB77" s="10"/>
      <c r="AC77" s="91"/>
      <c r="AD77" s="22"/>
      <c r="AE77" s="12"/>
      <c r="AF77" s="91"/>
      <c r="AG77" s="21"/>
      <c r="AH77" s="10"/>
      <c r="AI77" s="91"/>
      <c r="AJ77" s="23"/>
    </row>
    <row r="78" spans="1:36" ht="15.6">
      <c r="A78" s="8"/>
      <c r="B78" s="91"/>
      <c r="C78" s="21"/>
      <c r="D78" s="10"/>
      <c r="E78" s="91"/>
      <c r="F78" s="22"/>
      <c r="G78" s="12"/>
      <c r="H78" s="91"/>
      <c r="I78" s="21"/>
      <c r="J78" s="10"/>
      <c r="K78" s="91"/>
      <c r="L78" s="22"/>
      <c r="M78" s="12"/>
      <c r="N78" s="91"/>
      <c r="O78" s="21"/>
      <c r="P78" s="10"/>
      <c r="Q78" s="91"/>
      <c r="R78" s="22"/>
      <c r="S78" s="12"/>
      <c r="T78" s="91"/>
      <c r="U78" s="21"/>
      <c r="V78" s="10"/>
      <c r="W78" s="91"/>
      <c r="X78" s="22"/>
      <c r="Y78" s="12"/>
      <c r="Z78" s="91"/>
      <c r="AA78" s="21"/>
      <c r="AB78" s="10"/>
      <c r="AC78" s="91"/>
      <c r="AD78" s="22"/>
      <c r="AE78" s="12"/>
      <c r="AF78" s="91"/>
      <c r="AG78" s="21"/>
      <c r="AH78" s="10"/>
      <c r="AI78" s="91"/>
      <c r="AJ78" s="23"/>
    </row>
    <row r="79" spans="1:36" ht="15.6">
      <c r="A79" s="8"/>
      <c r="B79" s="91"/>
      <c r="C79" s="21"/>
      <c r="D79" s="10"/>
      <c r="E79" s="91"/>
      <c r="F79" s="22"/>
      <c r="G79" s="12"/>
      <c r="H79" s="91"/>
      <c r="I79" s="21"/>
      <c r="J79" s="10"/>
      <c r="K79" s="91"/>
      <c r="L79" s="22"/>
      <c r="M79" s="12"/>
      <c r="N79" s="91"/>
      <c r="O79" s="21"/>
      <c r="P79" s="10"/>
      <c r="Q79" s="91"/>
      <c r="R79" s="22"/>
      <c r="S79" s="12"/>
      <c r="T79" s="91"/>
      <c r="U79" s="21"/>
      <c r="V79" s="10"/>
      <c r="W79" s="91"/>
      <c r="X79" s="22"/>
      <c r="Y79" s="12"/>
      <c r="Z79" s="91"/>
      <c r="AA79" s="21"/>
      <c r="AB79" s="10"/>
      <c r="AC79" s="91"/>
      <c r="AD79" s="22"/>
      <c r="AE79" s="12"/>
      <c r="AF79" s="91"/>
      <c r="AG79" s="21"/>
      <c r="AH79" s="10"/>
      <c r="AI79" s="91"/>
      <c r="AJ79" s="23"/>
    </row>
    <row r="80" spans="1:36" ht="15.6">
      <c r="A80" s="8"/>
      <c r="B80" s="91"/>
      <c r="C80" s="21"/>
      <c r="D80" s="10"/>
      <c r="E80" s="91"/>
      <c r="F80" s="22"/>
      <c r="G80" s="12"/>
      <c r="H80" s="91"/>
      <c r="I80" s="21"/>
      <c r="J80" s="10"/>
      <c r="K80" s="91"/>
      <c r="L80" s="22"/>
      <c r="M80" s="12"/>
      <c r="N80" s="91"/>
      <c r="O80" s="21"/>
      <c r="P80" s="10"/>
      <c r="Q80" s="91"/>
      <c r="R80" s="22"/>
      <c r="S80" s="12"/>
      <c r="T80" s="91"/>
      <c r="U80" s="21"/>
      <c r="V80" s="10"/>
      <c r="W80" s="91"/>
      <c r="X80" s="22"/>
      <c r="Y80" s="12"/>
      <c r="Z80" s="91"/>
      <c r="AA80" s="21"/>
      <c r="AB80" s="10"/>
      <c r="AC80" s="91"/>
      <c r="AD80" s="22"/>
      <c r="AE80" s="12"/>
      <c r="AF80" s="91"/>
      <c r="AG80" s="21"/>
      <c r="AH80" s="10"/>
      <c r="AI80" s="91"/>
      <c r="AJ80" s="23"/>
    </row>
    <row r="81" spans="1:36" ht="15.6">
      <c r="A81" s="8"/>
      <c r="B81" s="91"/>
      <c r="C81" s="21"/>
      <c r="D81" s="10"/>
      <c r="E81" s="91"/>
      <c r="F81" s="22"/>
      <c r="G81" s="12"/>
      <c r="H81" s="91"/>
      <c r="I81" s="21"/>
      <c r="J81" s="10"/>
      <c r="K81" s="91"/>
      <c r="L81" s="22"/>
      <c r="M81" s="12"/>
      <c r="N81" s="91"/>
      <c r="O81" s="21"/>
      <c r="P81" s="10"/>
      <c r="Q81" s="91"/>
      <c r="R81" s="22"/>
      <c r="S81" s="12"/>
      <c r="T81" s="91"/>
      <c r="U81" s="21"/>
      <c r="V81" s="10"/>
      <c r="W81" s="91"/>
      <c r="X81" s="22"/>
      <c r="Y81" s="12"/>
      <c r="Z81" s="91"/>
      <c r="AA81" s="21"/>
      <c r="AB81" s="10"/>
      <c r="AC81" s="91"/>
      <c r="AD81" s="22"/>
      <c r="AE81" s="12"/>
      <c r="AF81" s="91"/>
      <c r="AG81" s="21"/>
      <c r="AH81" s="10"/>
      <c r="AI81" s="91"/>
      <c r="AJ81" s="23"/>
    </row>
    <row r="82" spans="1:36" ht="15.6">
      <c r="A82" s="8"/>
      <c r="B82" s="91"/>
      <c r="C82" s="21"/>
      <c r="D82" s="10"/>
      <c r="E82" s="91"/>
      <c r="F82" s="22"/>
      <c r="G82" s="12"/>
      <c r="H82" s="91"/>
      <c r="I82" s="21"/>
      <c r="J82" s="10"/>
      <c r="K82" s="91"/>
      <c r="L82" s="22"/>
      <c r="M82" s="12"/>
      <c r="N82" s="91"/>
      <c r="O82" s="21"/>
      <c r="P82" s="10"/>
      <c r="Q82" s="91"/>
      <c r="R82" s="22"/>
      <c r="S82" s="12"/>
      <c r="T82" s="91"/>
      <c r="U82" s="21"/>
      <c r="V82" s="10"/>
      <c r="W82" s="91"/>
      <c r="X82" s="22"/>
      <c r="Y82" s="12"/>
      <c r="Z82" s="91"/>
      <c r="AA82" s="21"/>
      <c r="AB82" s="10"/>
      <c r="AC82" s="91"/>
      <c r="AD82" s="22"/>
      <c r="AE82" s="12"/>
      <c r="AF82" s="91"/>
      <c r="AG82" s="21"/>
      <c r="AH82" s="10"/>
      <c r="AI82" s="91"/>
      <c r="AJ82" s="23"/>
    </row>
    <row r="83" spans="1:36" ht="15.6">
      <c r="A83" s="8"/>
      <c r="B83" s="91"/>
      <c r="C83" s="21"/>
      <c r="D83" s="10"/>
      <c r="E83" s="91"/>
      <c r="F83" s="22"/>
      <c r="G83" s="12"/>
      <c r="H83" s="91"/>
      <c r="I83" s="21"/>
      <c r="J83" s="10"/>
      <c r="K83" s="91"/>
      <c r="L83" s="22"/>
      <c r="M83" s="12"/>
      <c r="N83" s="91"/>
      <c r="O83" s="21"/>
      <c r="P83" s="10"/>
      <c r="Q83" s="91"/>
      <c r="R83" s="22"/>
      <c r="S83" s="12"/>
      <c r="T83" s="91"/>
      <c r="U83" s="21"/>
      <c r="V83" s="10"/>
      <c r="W83" s="91"/>
      <c r="X83" s="22"/>
      <c r="Y83" s="12"/>
      <c r="Z83" s="91"/>
      <c r="AA83" s="21"/>
      <c r="AB83" s="10"/>
      <c r="AC83" s="91"/>
      <c r="AD83" s="22"/>
      <c r="AE83" s="12"/>
      <c r="AF83" s="91"/>
      <c r="AG83" s="21"/>
      <c r="AH83" s="10"/>
      <c r="AI83" s="91"/>
      <c r="AJ83" s="23"/>
    </row>
    <row r="84" spans="1:36" ht="15.6">
      <c r="A84" s="8"/>
      <c r="B84" s="91"/>
      <c r="C84" s="21"/>
      <c r="D84" s="10"/>
      <c r="E84" s="91"/>
      <c r="F84" s="22"/>
      <c r="G84" s="12"/>
      <c r="H84" s="91"/>
      <c r="I84" s="21"/>
      <c r="J84" s="10"/>
      <c r="K84" s="91"/>
      <c r="L84" s="22"/>
      <c r="M84" s="12"/>
      <c r="N84" s="91"/>
      <c r="O84" s="21"/>
      <c r="P84" s="10"/>
      <c r="Q84" s="91"/>
      <c r="R84" s="22"/>
      <c r="S84" s="12"/>
      <c r="T84" s="91"/>
      <c r="U84" s="21"/>
      <c r="V84" s="10"/>
      <c r="W84" s="91"/>
      <c r="X84" s="22"/>
      <c r="Y84" s="12"/>
      <c r="Z84" s="91"/>
      <c r="AA84" s="21"/>
      <c r="AB84" s="10"/>
      <c r="AC84" s="91"/>
      <c r="AD84" s="22"/>
      <c r="AE84" s="12"/>
      <c r="AF84" s="91"/>
      <c r="AG84" s="21"/>
      <c r="AH84" s="10"/>
      <c r="AI84" s="91"/>
      <c r="AJ84" s="23"/>
    </row>
    <row r="85" spans="1:36" ht="15.6">
      <c r="A85" s="8"/>
      <c r="B85" s="91"/>
      <c r="C85" s="21"/>
      <c r="D85" s="10"/>
      <c r="E85" s="91"/>
      <c r="F85" s="22"/>
      <c r="G85" s="12"/>
      <c r="H85" s="91"/>
      <c r="I85" s="21"/>
      <c r="J85" s="10"/>
      <c r="K85" s="91"/>
      <c r="L85" s="22"/>
      <c r="M85" s="12"/>
      <c r="N85" s="91"/>
      <c r="O85" s="21"/>
      <c r="P85" s="10"/>
      <c r="Q85" s="91"/>
      <c r="R85" s="22"/>
      <c r="S85" s="12"/>
      <c r="T85" s="91"/>
      <c r="U85" s="21"/>
      <c r="V85" s="10"/>
      <c r="W85" s="91"/>
      <c r="X85" s="22"/>
      <c r="Y85" s="12"/>
      <c r="Z85" s="91"/>
      <c r="AA85" s="21"/>
      <c r="AB85" s="10"/>
      <c r="AC85" s="91"/>
      <c r="AD85" s="22"/>
      <c r="AE85" s="12"/>
      <c r="AF85" s="91"/>
      <c r="AG85" s="21"/>
      <c r="AH85" s="10"/>
      <c r="AI85" s="91"/>
      <c r="AJ85" s="23"/>
    </row>
    <row r="86" spans="1:36" ht="15.6">
      <c r="A86" s="8"/>
      <c r="B86" s="91"/>
      <c r="C86" s="21"/>
      <c r="D86" s="10"/>
      <c r="E86" s="91"/>
      <c r="F86" s="22"/>
      <c r="G86" s="12"/>
      <c r="H86" s="91"/>
      <c r="I86" s="21"/>
      <c r="J86" s="10"/>
      <c r="K86" s="91"/>
      <c r="L86" s="22"/>
      <c r="M86" s="12"/>
      <c r="N86" s="91"/>
      <c r="O86" s="21"/>
      <c r="P86" s="10"/>
      <c r="Q86" s="91"/>
      <c r="R86" s="22"/>
      <c r="S86" s="12"/>
      <c r="T86" s="91"/>
      <c r="U86" s="21"/>
      <c r="V86" s="10"/>
      <c r="W86" s="91"/>
      <c r="X86" s="22"/>
      <c r="Y86" s="12"/>
      <c r="Z86" s="91"/>
      <c r="AA86" s="21"/>
      <c r="AB86" s="10"/>
      <c r="AC86" s="91"/>
      <c r="AD86" s="22"/>
      <c r="AE86" s="12"/>
      <c r="AF86" s="91"/>
      <c r="AG86" s="21"/>
      <c r="AH86" s="10"/>
      <c r="AI86" s="91"/>
      <c r="AJ86" s="23"/>
    </row>
    <row r="87" spans="1:36" ht="15.6">
      <c r="A87" s="8"/>
      <c r="B87" s="91"/>
      <c r="C87" s="21"/>
      <c r="D87" s="10"/>
      <c r="E87" s="91"/>
      <c r="F87" s="22"/>
      <c r="G87" s="12"/>
      <c r="H87" s="91"/>
      <c r="I87" s="21"/>
      <c r="J87" s="10"/>
      <c r="K87" s="91"/>
      <c r="L87" s="22"/>
      <c r="M87" s="12"/>
      <c r="N87" s="91"/>
      <c r="O87" s="21"/>
      <c r="P87" s="10"/>
      <c r="Q87" s="91"/>
      <c r="R87" s="22"/>
      <c r="S87" s="12"/>
      <c r="T87" s="91"/>
      <c r="U87" s="21"/>
      <c r="V87" s="10"/>
      <c r="W87" s="91"/>
      <c r="X87" s="22"/>
      <c r="Y87" s="12"/>
      <c r="Z87" s="91"/>
      <c r="AA87" s="21"/>
      <c r="AB87" s="10"/>
      <c r="AC87" s="91"/>
      <c r="AD87" s="22"/>
      <c r="AE87" s="12"/>
      <c r="AF87" s="91"/>
      <c r="AG87" s="21"/>
      <c r="AH87" s="10"/>
      <c r="AI87" s="91"/>
      <c r="AJ87" s="23"/>
    </row>
    <row r="88" spans="1:36" ht="15.6">
      <c r="A88" s="8"/>
      <c r="B88" s="91"/>
      <c r="C88" s="21"/>
      <c r="D88" s="10"/>
      <c r="E88" s="91"/>
      <c r="F88" s="22"/>
      <c r="G88" s="12"/>
      <c r="H88" s="91"/>
      <c r="I88" s="21"/>
      <c r="J88" s="10"/>
      <c r="K88" s="91"/>
      <c r="L88" s="22"/>
      <c r="M88" s="12"/>
      <c r="N88" s="91"/>
      <c r="O88" s="21"/>
      <c r="P88" s="10"/>
      <c r="Q88" s="91"/>
      <c r="R88" s="22"/>
      <c r="S88" s="12"/>
      <c r="T88" s="91"/>
      <c r="U88" s="21"/>
      <c r="V88" s="10"/>
      <c r="W88" s="91"/>
      <c r="X88" s="22"/>
      <c r="Y88" s="12"/>
      <c r="Z88" s="91"/>
      <c r="AA88" s="21"/>
      <c r="AB88" s="10"/>
      <c r="AC88" s="91"/>
      <c r="AD88" s="22"/>
      <c r="AE88" s="12"/>
      <c r="AF88" s="91"/>
      <c r="AG88" s="21"/>
      <c r="AH88" s="10"/>
      <c r="AI88" s="91"/>
      <c r="AJ88" s="23"/>
    </row>
    <row r="89" spans="1:36" ht="15.6">
      <c r="A89" s="8"/>
      <c r="B89" s="91"/>
      <c r="C89" s="21"/>
      <c r="D89" s="10"/>
      <c r="E89" s="91"/>
      <c r="F89" s="22"/>
      <c r="G89" s="12"/>
      <c r="H89" s="91"/>
      <c r="I89" s="21"/>
      <c r="J89" s="10"/>
      <c r="K89" s="91"/>
      <c r="L89" s="22"/>
      <c r="M89" s="12"/>
      <c r="N89" s="91"/>
      <c r="O89" s="21"/>
      <c r="P89" s="10"/>
      <c r="Q89" s="91"/>
      <c r="R89" s="22"/>
      <c r="S89" s="12"/>
      <c r="T89" s="91"/>
      <c r="U89" s="21"/>
      <c r="V89" s="10"/>
      <c r="W89" s="91"/>
      <c r="X89" s="22"/>
      <c r="Y89" s="12"/>
      <c r="Z89" s="91"/>
      <c r="AA89" s="21"/>
      <c r="AB89" s="10"/>
      <c r="AC89" s="91"/>
      <c r="AD89" s="22"/>
      <c r="AE89" s="12"/>
      <c r="AF89" s="91"/>
      <c r="AG89" s="21"/>
      <c r="AH89" s="10"/>
      <c r="AI89" s="91"/>
      <c r="AJ89" s="23"/>
    </row>
    <row r="90" spans="1:36" ht="15.6">
      <c r="A90" s="8"/>
      <c r="B90" s="91"/>
      <c r="C90" s="21"/>
      <c r="D90" s="10"/>
      <c r="E90" s="91"/>
      <c r="F90" s="22"/>
      <c r="G90" s="12"/>
      <c r="H90" s="91"/>
      <c r="I90" s="21"/>
      <c r="J90" s="10"/>
      <c r="K90" s="91"/>
      <c r="L90" s="22"/>
      <c r="M90" s="12"/>
      <c r="N90" s="91"/>
      <c r="O90" s="21"/>
      <c r="P90" s="10"/>
      <c r="Q90" s="91"/>
      <c r="R90" s="22"/>
      <c r="S90" s="12"/>
      <c r="T90" s="91"/>
      <c r="U90" s="21"/>
      <c r="V90" s="10"/>
      <c r="W90" s="91"/>
      <c r="X90" s="22"/>
      <c r="Y90" s="12"/>
      <c r="Z90" s="91"/>
      <c r="AA90" s="21"/>
      <c r="AB90" s="10"/>
      <c r="AC90" s="91"/>
      <c r="AD90" s="22"/>
      <c r="AE90" s="12"/>
      <c r="AF90" s="91"/>
      <c r="AG90" s="21"/>
      <c r="AH90" s="10"/>
      <c r="AI90" s="91"/>
      <c r="AJ90" s="23"/>
    </row>
    <row r="91" spans="1:36" ht="15.6">
      <c r="A91" s="8"/>
      <c r="B91" s="91"/>
      <c r="C91" s="21"/>
      <c r="D91" s="10"/>
      <c r="E91" s="91"/>
      <c r="F91" s="22"/>
      <c r="G91" s="12"/>
      <c r="H91" s="91"/>
      <c r="I91" s="21"/>
      <c r="J91" s="10"/>
      <c r="K91" s="91"/>
      <c r="L91" s="22"/>
      <c r="M91" s="12"/>
      <c r="N91" s="91"/>
      <c r="O91" s="21"/>
      <c r="P91" s="10"/>
      <c r="Q91" s="91"/>
      <c r="R91" s="22"/>
      <c r="S91" s="12"/>
      <c r="T91" s="91"/>
      <c r="U91" s="21"/>
      <c r="V91" s="10"/>
      <c r="W91" s="91"/>
      <c r="X91" s="22"/>
      <c r="Y91" s="12"/>
      <c r="Z91" s="91"/>
      <c r="AA91" s="21"/>
      <c r="AB91" s="10"/>
      <c r="AC91" s="91"/>
      <c r="AD91" s="22"/>
      <c r="AE91" s="12"/>
      <c r="AF91" s="91"/>
      <c r="AG91" s="21"/>
      <c r="AH91" s="10"/>
      <c r="AI91" s="91"/>
      <c r="AJ91" s="23"/>
    </row>
    <row r="92" spans="1:36" ht="15.6">
      <c r="A92" s="8"/>
      <c r="B92" s="91"/>
      <c r="C92" s="21"/>
      <c r="D92" s="10"/>
      <c r="E92" s="91"/>
      <c r="F92" s="22"/>
      <c r="G92" s="12"/>
      <c r="H92" s="91"/>
      <c r="I92" s="21"/>
      <c r="J92" s="10"/>
      <c r="K92" s="91"/>
      <c r="L92" s="22"/>
      <c r="M92" s="12"/>
      <c r="N92" s="91"/>
      <c r="O92" s="21"/>
      <c r="P92" s="10"/>
      <c r="Q92" s="91"/>
      <c r="R92" s="22"/>
      <c r="S92" s="12"/>
      <c r="T92" s="91"/>
      <c r="U92" s="21"/>
      <c r="V92" s="10"/>
      <c r="W92" s="91"/>
      <c r="X92" s="22"/>
      <c r="Y92" s="12"/>
      <c r="Z92" s="91"/>
      <c r="AA92" s="21"/>
      <c r="AB92" s="10"/>
      <c r="AC92" s="91"/>
      <c r="AD92" s="22"/>
      <c r="AE92" s="12"/>
      <c r="AF92" s="91"/>
      <c r="AG92" s="21"/>
      <c r="AH92" s="10"/>
      <c r="AI92" s="91"/>
      <c r="AJ92" s="23"/>
    </row>
    <row r="93" spans="1:36" ht="15.6">
      <c r="A93" s="8"/>
      <c r="B93" s="91"/>
      <c r="C93" s="21"/>
      <c r="D93" s="10"/>
      <c r="E93" s="91"/>
      <c r="F93" s="22"/>
      <c r="G93" s="12"/>
      <c r="H93" s="91"/>
      <c r="I93" s="21"/>
      <c r="J93" s="10"/>
      <c r="K93" s="91"/>
      <c r="L93" s="22"/>
      <c r="M93" s="12"/>
      <c r="N93" s="91"/>
      <c r="O93" s="21"/>
      <c r="P93" s="10"/>
      <c r="Q93" s="91"/>
      <c r="R93" s="22"/>
      <c r="S93" s="12"/>
      <c r="T93" s="91"/>
      <c r="U93" s="21"/>
      <c r="V93" s="10"/>
      <c r="W93" s="91"/>
      <c r="X93" s="22"/>
      <c r="Y93" s="12"/>
      <c r="Z93" s="91"/>
      <c r="AA93" s="21"/>
      <c r="AB93" s="10"/>
      <c r="AC93" s="91"/>
      <c r="AD93" s="22"/>
      <c r="AE93" s="12"/>
      <c r="AF93" s="91"/>
      <c r="AG93" s="21"/>
      <c r="AH93" s="10"/>
      <c r="AI93" s="91"/>
      <c r="AJ93" s="23"/>
    </row>
    <row r="94" spans="1:36" ht="15.6">
      <c r="A94" s="8"/>
      <c r="B94" s="91"/>
      <c r="C94" s="21"/>
      <c r="D94" s="10"/>
      <c r="E94" s="91"/>
      <c r="F94" s="22"/>
      <c r="G94" s="12"/>
      <c r="H94" s="91"/>
      <c r="I94" s="21"/>
      <c r="J94" s="10"/>
      <c r="K94" s="91"/>
      <c r="L94" s="22"/>
      <c r="M94" s="12"/>
      <c r="N94" s="91"/>
      <c r="O94" s="21"/>
      <c r="P94" s="10"/>
      <c r="Q94" s="91"/>
      <c r="R94" s="22"/>
      <c r="S94" s="12"/>
      <c r="T94" s="91"/>
      <c r="U94" s="21"/>
      <c r="V94" s="10"/>
      <c r="W94" s="91"/>
      <c r="X94" s="22"/>
      <c r="Y94" s="12"/>
      <c r="Z94" s="91"/>
      <c r="AA94" s="21"/>
      <c r="AB94" s="10"/>
      <c r="AC94" s="91"/>
      <c r="AD94" s="22"/>
      <c r="AE94" s="12"/>
      <c r="AF94" s="91"/>
      <c r="AG94" s="21"/>
      <c r="AH94" s="10"/>
      <c r="AI94" s="91"/>
      <c r="AJ94" s="23"/>
    </row>
    <row r="95" spans="1:36" ht="15.6">
      <c r="A95" s="8"/>
      <c r="B95" s="91"/>
      <c r="C95" s="21"/>
      <c r="D95" s="10"/>
      <c r="E95" s="91"/>
      <c r="F95" s="22"/>
      <c r="G95" s="12"/>
      <c r="H95" s="91"/>
      <c r="I95" s="21"/>
      <c r="J95" s="10"/>
      <c r="K95" s="91"/>
      <c r="L95" s="22"/>
      <c r="M95" s="12"/>
      <c r="N95" s="91"/>
      <c r="O95" s="21"/>
      <c r="P95" s="10"/>
      <c r="Q95" s="91"/>
      <c r="R95" s="22"/>
      <c r="S95" s="12"/>
      <c r="T95" s="91"/>
      <c r="U95" s="21"/>
      <c r="V95" s="10"/>
      <c r="W95" s="91"/>
      <c r="X95" s="22"/>
      <c r="Y95" s="12"/>
      <c r="Z95" s="91"/>
      <c r="AA95" s="21"/>
      <c r="AB95" s="10"/>
      <c r="AC95" s="91"/>
      <c r="AD95" s="22"/>
      <c r="AE95" s="12"/>
      <c r="AF95" s="91"/>
      <c r="AG95" s="21"/>
      <c r="AH95" s="10"/>
      <c r="AI95" s="91"/>
      <c r="AJ95" s="23"/>
    </row>
    <row r="96" spans="1:36" ht="15.6">
      <c r="A96" s="8"/>
      <c r="B96" s="91"/>
      <c r="C96" s="21"/>
      <c r="D96" s="10"/>
      <c r="E96" s="91"/>
      <c r="F96" s="22"/>
      <c r="G96" s="12"/>
      <c r="H96" s="91"/>
      <c r="I96" s="21"/>
      <c r="J96" s="10"/>
      <c r="K96" s="91"/>
      <c r="L96" s="22"/>
      <c r="M96" s="12"/>
      <c r="N96" s="91"/>
      <c r="O96" s="21"/>
      <c r="P96" s="10"/>
      <c r="Q96" s="91"/>
      <c r="R96" s="22"/>
      <c r="S96" s="12"/>
      <c r="T96" s="91"/>
      <c r="U96" s="21"/>
      <c r="V96" s="10"/>
      <c r="W96" s="91"/>
      <c r="X96" s="22"/>
      <c r="Y96" s="12"/>
      <c r="Z96" s="91"/>
      <c r="AA96" s="21"/>
      <c r="AB96" s="10"/>
      <c r="AC96" s="91"/>
      <c r="AD96" s="22"/>
      <c r="AE96" s="12"/>
      <c r="AF96" s="91"/>
      <c r="AG96" s="21"/>
      <c r="AH96" s="10"/>
      <c r="AI96" s="91"/>
      <c r="AJ96" s="23"/>
    </row>
    <row r="97" spans="1:36" ht="15.6">
      <c r="A97" s="8"/>
      <c r="B97" s="91"/>
      <c r="C97" s="21"/>
      <c r="D97" s="10"/>
      <c r="E97" s="91"/>
      <c r="F97" s="22"/>
      <c r="G97" s="12"/>
      <c r="H97" s="91"/>
      <c r="I97" s="21"/>
      <c r="J97" s="10"/>
      <c r="K97" s="91"/>
      <c r="L97" s="22"/>
      <c r="M97" s="12"/>
      <c r="N97" s="91"/>
      <c r="O97" s="21"/>
      <c r="P97" s="10"/>
      <c r="Q97" s="91"/>
      <c r="R97" s="22"/>
      <c r="S97" s="12"/>
      <c r="T97" s="91"/>
      <c r="U97" s="21"/>
      <c r="V97" s="10"/>
      <c r="W97" s="91"/>
      <c r="X97" s="22"/>
      <c r="Y97" s="12"/>
      <c r="Z97" s="91"/>
      <c r="AA97" s="21"/>
      <c r="AB97" s="10"/>
      <c r="AC97" s="91"/>
      <c r="AD97" s="22"/>
      <c r="AE97" s="12"/>
      <c r="AF97" s="91"/>
      <c r="AG97" s="21"/>
      <c r="AH97" s="10"/>
      <c r="AI97" s="91"/>
      <c r="AJ97" s="23"/>
    </row>
    <row r="98" spans="1:36" ht="15.6">
      <c r="A98" s="8"/>
      <c r="B98" s="91"/>
      <c r="C98" s="21"/>
      <c r="D98" s="10"/>
      <c r="E98" s="91"/>
      <c r="F98" s="22"/>
      <c r="G98" s="12"/>
      <c r="H98" s="91"/>
      <c r="I98" s="21"/>
      <c r="J98" s="10"/>
      <c r="K98" s="91"/>
      <c r="L98" s="22"/>
      <c r="M98" s="12"/>
      <c r="N98" s="91"/>
      <c r="O98" s="21"/>
      <c r="P98" s="10"/>
      <c r="Q98" s="91"/>
      <c r="R98" s="22"/>
      <c r="S98" s="12"/>
      <c r="T98" s="91"/>
      <c r="U98" s="21"/>
      <c r="V98" s="10"/>
      <c r="W98" s="91"/>
      <c r="X98" s="22"/>
      <c r="Y98" s="12"/>
      <c r="Z98" s="91"/>
      <c r="AA98" s="21"/>
      <c r="AB98" s="10"/>
      <c r="AC98" s="91"/>
      <c r="AD98" s="22"/>
      <c r="AE98" s="12"/>
      <c r="AF98" s="91"/>
      <c r="AG98" s="21"/>
      <c r="AH98" s="10"/>
      <c r="AI98" s="91"/>
      <c r="AJ98" s="23"/>
    </row>
    <row r="99" spans="1:36" ht="15.6">
      <c r="A99" s="8"/>
      <c r="B99" s="91"/>
      <c r="C99" s="21"/>
      <c r="D99" s="10"/>
      <c r="E99" s="91"/>
      <c r="F99" s="22"/>
      <c r="G99" s="12"/>
      <c r="H99" s="91"/>
      <c r="I99" s="21"/>
      <c r="J99" s="10"/>
      <c r="K99" s="91"/>
      <c r="L99" s="22"/>
      <c r="M99" s="12"/>
      <c r="N99" s="91"/>
      <c r="O99" s="21"/>
      <c r="P99" s="10"/>
      <c r="Q99" s="91"/>
      <c r="R99" s="22"/>
      <c r="S99" s="12"/>
      <c r="T99" s="91"/>
      <c r="U99" s="21"/>
      <c r="V99" s="10"/>
      <c r="W99" s="91"/>
      <c r="X99" s="22"/>
      <c r="Y99" s="12"/>
      <c r="Z99" s="91"/>
      <c r="AA99" s="21"/>
      <c r="AB99" s="10"/>
      <c r="AC99" s="91"/>
      <c r="AD99" s="22"/>
      <c r="AE99" s="12"/>
      <c r="AF99" s="91"/>
      <c r="AG99" s="21"/>
      <c r="AH99" s="10"/>
      <c r="AI99" s="91"/>
      <c r="AJ99" s="23"/>
    </row>
    <row r="100" spans="1:36" ht="15.6">
      <c r="A100" s="8"/>
      <c r="B100" s="91"/>
      <c r="C100" s="21"/>
      <c r="D100" s="10"/>
      <c r="E100" s="91"/>
      <c r="F100" s="22"/>
      <c r="G100" s="12"/>
      <c r="H100" s="91"/>
      <c r="I100" s="21"/>
      <c r="J100" s="10"/>
      <c r="K100" s="91"/>
      <c r="L100" s="22"/>
      <c r="M100" s="12"/>
      <c r="N100" s="91"/>
      <c r="O100" s="21"/>
      <c r="P100" s="10"/>
      <c r="Q100" s="91"/>
      <c r="R100" s="22"/>
      <c r="S100" s="12"/>
      <c r="T100" s="91"/>
      <c r="U100" s="21"/>
      <c r="V100" s="10"/>
      <c r="W100" s="91"/>
      <c r="X100" s="22"/>
      <c r="Y100" s="12"/>
      <c r="Z100" s="91"/>
      <c r="AA100" s="21"/>
      <c r="AB100" s="10"/>
      <c r="AC100" s="91"/>
      <c r="AD100" s="22"/>
      <c r="AE100" s="12"/>
      <c r="AF100" s="91"/>
      <c r="AG100" s="21"/>
      <c r="AH100" s="10"/>
      <c r="AI100" s="91"/>
      <c r="AJ100" s="23"/>
    </row>
    <row r="101" spans="1:36" ht="15.6">
      <c r="A101" s="8"/>
      <c r="B101" s="91"/>
      <c r="C101" s="21"/>
      <c r="D101" s="10"/>
      <c r="E101" s="91"/>
      <c r="F101" s="22"/>
      <c r="G101" s="12"/>
      <c r="H101" s="91"/>
      <c r="I101" s="21"/>
      <c r="J101" s="10"/>
      <c r="K101" s="91"/>
      <c r="L101" s="22"/>
      <c r="M101" s="12"/>
      <c r="N101" s="91"/>
      <c r="O101" s="21"/>
      <c r="P101" s="10"/>
      <c r="Q101" s="91"/>
      <c r="R101" s="22"/>
      <c r="S101" s="12"/>
      <c r="T101" s="91"/>
      <c r="U101" s="21"/>
      <c r="V101" s="10"/>
      <c r="W101" s="91"/>
      <c r="X101" s="22"/>
      <c r="Y101" s="12"/>
      <c r="Z101" s="91"/>
      <c r="AA101" s="21"/>
      <c r="AB101" s="10"/>
      <c r="AC101" s="91"/>
      <c r="AD101" s="22"/>
      <c r="AE101" s="12"/>
      <c r="AF101" s="91"/>
      <c r="AG101" s="21"/>
      <c r="AH101" s="10"/>
      <c r="AI101" s="91"/>
      <c r="AJ101" s="23"/>
    </row>
    <row r="102" spans="1:36" ht="15.6">
      <c r="A102" s="8"/>
      <c r="B102" s="91"/>
      <c r="C102" s="21"/>
      <c r="D102" s="10"/>
      <c r="E102" s="91"/>
      <c r="F102" s="22"/>
      <c r="G102" s="12"/>
      <c r="H102" s="91"/>
      <c r="I102" s="21"/>
      <c r="J102" s="10"/>
      <c r="K102" s="91"/>
      <c r="L102" s="22"/>
      <c r="M102" s="12"/>
      <c r="N102" s="91"/>
      <c r="O102" s="21"/>
      <c r="P102" s="10"/>
      <c r="Q102" s="91"/>
      <c r="R102" s="22"/>
      <c r="S102" s="12"/>
      <c r="T102" s="91"/>
      <c r="U102" s="21"/>
      <c r="V102" s="10"/>
      <c r="W102" s="91"/>
      <c r="X102" s="22"/>
      <c r="Y102" s="12"/>
      <c r="Z102" s="91"/>
      <c r="AA102" s="21"/>
      <c r="AB102" s="10"/>
      <c r="AC102" s="91"/>
      <c r="AD102" s="22"/>
      <c r="AE102" s="12"/>
      <c r="AF102" s="91"/>
      <c r="AG102" s="21"/>
      <c r="AH102" s="10"/>
      <c r="AI102" s="91"/>
      <c r="AJ102" s="23"/>
    </row>
    <row r="103" spans="1:36" ht="15.6">
      <c r="A103" s="8"/>
      <c r="B103" s="91"/>
      <c r="C103" s="21"/>
      <c r="D103" s="10"/>
      <c r="E103" s="91"/>
      <c r="F103" s="22"/>
      <c r="G103" s="12"/>
      <c r="H103" s="91"/>
      <c r="I103" s="21"/>
      <c r="J103" s="10"/>
      <c r="K103" s="91"/>
      <c r="L103" s="22"/>
      <c r="M103" s="12"/>
      <c r="N103" s="91"/>
      <c r="O103" s="21"/>
      <c r="P103" s="10"/>
      <c r="Q103" s="91"/>
      <c r="R103" s="22"/>
      <c r="S103" s="12"/>
      <c r="T103" s="91"/>
      <c r="U103" s="21"/>
      <c r="V103" s="10"/>
      <c r="W103" s="91"/>
      <c r="X103" s="22"/>
      <c r="Y103" s="12"/>
      <c r="Z103" s="91"/>
      <c r="AA103" s="21"/>
      <c r="AB103" s="10"/>
      <c r="AC103" s="91"/>
      <c r="AD103" s="22"/>
      <c r="AE103" s="12"/>
      <c r="AF103" s="91"/>
      <c r="AG103" s="21"/>
      <c r="AH103" s="10"/>
      <c r="AI103" s="91"/>
      <c r="AJ103" s="23"/>
    </row>
    <row r="104" spans="1:36" ht="15.6">
      <c r="A104" s="8"/>
      <c r="B104" s="91"/>
      <c r="C104" s="21"/>
      <c r="D104" s="10"/>
      <c r="E104" s="91"/>
      <c r="F104" s="22"/>
      <c r="G104" s="12"/>
      <c r="H104" s="91"/>
      <c r="I104" s="21"/>
      <c r="J104" s="10"/>
      <c r="K104" s="91"/>
      <c r="L104" s="22"/>
      <c r="M104" s="12"/>
      <c r="N104" s="91"/>
      <c r="O104" s="21"/>
      <c r="P104" s="10"/>
      <c r="Q104" s="91"/>
      <c r="R104" s="22"/>
      <c r="S104" s="12"/>
      <c r="T104" s="91"/>
      <c r="U104" s="21"/>
      <c r="V104" s="10"/>
      <c r="W104" s="91"/>
      <c r="X104" s="22"/>
      <c r="Y104" s="12"/>
      <c r="Z104" s="91"/>
      <c r="AA104" s="21"/>
      <c r="AB104" s="10"/>
      <c r="AC104" s="91"/>
      <c r="AD104" s="22"/>
      <c r="AE104" s="12"/>
      <c r="AF104" s="91"/>
      <c r="AG104" s="21"/>
      <c r="AH104" s="10"/>
      <c r="AI104" s="91"/>
      <c r="AJ104" s="23"/>
    </row>
    <row r="105" spans="1:36" ht="15.6">
      <c r="A105" s="8"/>
      <c r="B105" s="91"/>
      <c r="C105" s="21"/>
      <c r="D105" s="10"/>
      <c r="E105" s="91"/>
      <c r="F105" s="22"/>
      <c r="G105" s="12"/>
      <c r="H105" s="91"/>
      <c r="I105" s="21"/>
      <c r="J105" s="10"/>
      <c r="K105" s="91"/>
      <c r="L105" s="22"/>
      <c r="M105" s="12"/>
      <c r="N105" s="91"/>
      <c r="O105" s="21"/>
      <c r="P105" s="10"/>
      <c r="Q105" s="91"/>
      <c r="R105" s="22"/>
      <c r="S105" s="12"/>
      <c r="T105" s="91"/>
      <c r="U105" s="21"/>
      <c r="V105" s="10"/>
      <c r="W105" s="91"/>
      <c r="X105" s="22"/>
      <c r="Y105" s="12"/>
      <c r="Z105" s="91"/>
      <c r="AA105" s="21"/>
      <c r="AB105" s="10"/>
      <c r="AC105" s="91"/>
      <c r="AD105" s="22"/>
      <c r="AE105" s="12"/>
      <c r="AF105" s="91"/>
      <c r="AG105" s="21"/>
      <c r="AH105" s="10"/>
      <c r="AI105" s="91"/>
      <c r="AJ105" s="23"/>
    </row>
    <row r="106" spans="1:36" ht="15.6">
      <c r="A106" s="8"/>
      <c r="B106" s="91"/>
      <c r="C106" s="21"/>
      <c r="D106" s="10"/>
      <c r="E106" s="91"/>
      <c r="F106" s="22"/>
      <c r="G106" s="12"/>
      <c r="H106" s="91"/>
      <c r="I106" s="21"/>
      <c r="J106" s="10"/>
      <c r="K106" s="91"/>
      <c r="L106" s="22"/>
      <c r="M106" s="12"/>
      <c r="N106" s="91"/>
      <c r="O106" s="21"/>
      <c r="P106" s="10"/>
      <c r="Q106" s="91"/>
      <c r="R106" s="22"/>
      <c r="S106" s="12"/>
      <c r="T106" s="91"/>
      <c r="U106" s="21"/>
      <c r="V106" s="10"/>
      <c r="W106" s="91"/>
      <c r="X106" s="22"/>
      <c r="Y106" s="12"/>
      <c r="Z106" s="91"/>
      <c r="AA106" s="21"/>
      <c r="AB106" s="10"/>
      <c r="AC106" s="91"/>
      <c r="AD106" s="22"/>
      <c r="AE106" s="12"/>
      <c r="AF106" s="91"/>
      <c r="AG106" s="21"/>
      <c r="AH106" s="10"/>
      <c r="AI106" s="91"/>
      <c r="AJ106" s="23"/>
    </row>
    <row r="107" spans="1:36" ht="15.6">
      <c r="A107" s="8"/>
      <c r="B107" s="91"/>
      <c r="C107" s="21"/>
      <c r="D107" s="10"/>
      <c r="E107" s="91"/>
      <c r="F107" s="22"/>
      <c r="G107" s="12"/>
      <c r="H107" s="91"/>
      <c r="I107" s="21"/>
      <c r="J107" s="10"/>
      <c r="K107" s="91"/>
      <c r="L107" s="22"/>
      <c r="M107" s="12"/>
      <c r="N107" s="91"/>
      <c r="O107" s="21"/>
      <c r="P107" s="10"/>
      <c r="Q107" s="91"/>
      <c r="R107" s="22"/>
      <c r="S107" s="12"/>
      <c r="T107" s="91"/>
      <c r="U107" s="21"/>
      <c r="V107" s="10"/>
      <c r="W107" s="91"/>
      <c r="X107" s="22"/>
      <c r="Y107" s="12"/>
      <c r="Z107" s="91"/>
      <c r="AA107" s="21"/>
      <c r="AB107" s="10"/>
      <c r="AC107" s="91"/>
      <c r="AD107" s="22"/>
      <c r="AE107" s="12"/>
      <c r="AF107" s="91"/>
      <c r="AG107" s="21"/>
      <c r="AH107" s="10"/>
      <c r="AI107" s="91"/>
      <c r="AJ107" s="23"/>
    </row>
    <row r="108" spans="1:36" ht="15.6">
      <c r="A108" s="8"/>
      <c r="B108" s="91"/>
      <c r="C108" s="21"/>
      <c r="D108" s="10"/>
      <c r="E108" s="91"/>
      <c r="F108" s="22"/>
      <c r="G108" s="12"/>
      <c r="H108" s="91"/>
      <c r="I108" s="21"/>
      <c r="J108" s="10"/>
      <c r="K108" s="91"/>
      <c r="L108" s="22"/>
      <c r="M108" s="12"/>
      <c r="N108" s="91"/>
      <c r="O108" s="21"/>
      <c r="P108" s="10"/>
      <c r="Q108" s="91"/>
      <c r="R108" s="22"/>
      <c r="S108" s="12"/>
      <c r="T108" s="91"/>
      <c r="U108" s="21"/>
      <c r="V108" s="10"/>
      <c r="W108" s="91"/>
      <c r="X108" s="22"/>
      <c r="Y108" s="12"/>
      <c r="Z108" s="91"/>
      <c r="AA108" s="21"/>
      <c r="AB108" s="10"/>
      <c r="AC108" s="91"/>
      <c r="AD108" s="22"/>
      <c r="AE108" s="12"/>
      <c r="AF108" s="91"/>
      <c r="AG108" s="21"/>
      <c r="AH108" s="10"/>
      <c r="AI108" s="91"/>
      <c r="AJ108" s="23"/>
    </row>
    <row r="109" spans="1:36" ht="16.2" thickBot="1">
      <c r="A109" s="113" t="s">
        <v>17</v>
      </c>
      <c r="B109" s="107"/>
      <c r="C109" s="76">
        <f>SUM(C$61:C$108)</f>
        <v>0</v>
      </c>
      <c r="D109" s="106" t="str">
        <f>A109</f>
        <v xml:space="preserve">Summe + </v>
      </c>
      <c r="E109" s="107"/>
      <c r="F109" s="76">
        <f>SUM(F$61:F$108)</f>
        <v>0</v>
      </c>
      <c r="G109" s="108" t="str">
        <f>A109</f>
        <v xml:space="preserve">Summe + </v>
      </c>
      <c r="H109" s="107"/>
      <c r="I109" s="76">
        <f>SUM(I$61:I$108)</f>
        <v>0</v>
      </c>
      <c r="J109" s="106" t="str">
        <f>A109</f>
        <v xml:space="preserve">Summe + </v>
      </c>
      <c r="K109" s="107"/>
      <c r="L109" s="76">
        <f>SUM(L$61:L$108)</f>
        <v>0</v>
      </c>
      <c r="M109" s="108" t="str">
        <f>A109</f>
        <v xml:space="preserve">Summe + </v>
      </c>
      <c r="N109" s="107"/>
      <c r="O109" s="76">
        <f>SUM(O$61:O$108)</f>
        <v>0</v>
      </c>
      <c r="P109" s="106" t="str">
        <f>A109</f>
        <v xml:space="preserve">Summe + </v>
      </c>
      <c r="Q109" s="107"/>
      <c r="R109" s="76">
        <f>SUM(R$61:R$108)</f>
        <v>0</v>
      </c>
      <c r="S109" s="108" t="str">
        <f>A109</f>
        <v xml:space="preserve">Summe + </v>
      </c>
      <c r="T109" s="107"/>
      <c r="U109" s="76">
        <f>SUM(U$61:U$108)</f>
        <v>0</v>
      </c>
      <c r="V109" s="106" t="str">
        <f>A109</f>
        <v xml:space="preserve">Summe + </v>
      </c>
      <c r="W109" s="107"/>
      <c r="X109" s="76">
        <f>SUM(X$61:X$108)</f>
        <v>0</v>
      </c>
      <c r="Y109" s="108" t="str">
        <f>A109</f>
        <v xml:space="preserve">Summe + </v>
      </c>
      <c r="Z109" s="107"/>
      <c r="AA109" s="76">
        <f>SUM(AA$61:AA$108)</f>
        <v>0</v>
      </c>
      <c r="AB109" s="106" t="str">
        <f>A109</f>
        <v xml:space="preserve">Summe + </v>
      </c>
      <c r="AC109" s="107"/>
      <c r="AD109" s="76">
        <f>SUM(AD$61:AD$108)</f>
        <v>0</v>
      </c>
      <c r="AE109" s="108" t="str">
        <f>A109</f>
        <v xml:space="preserve">Summe + </v>
      </c>
      <c r="AF109" s="107"/>
      <c r="AG109" s="76">
        <f>SUM(AG$61:AG$108)</f>
        <v>0</v>
      </c>
      <c r="AH109" s="106" t="str">
        <f>A109</f>
        <v xml:space="preserve">Summe + </v>
      </c>
      <c r="AI109" s="107"/>
      <c r="AJ109" s="77">
        <f>SUM(AJ$61:AJ$108)</f>
        <v>0</v>
      </c>
    </row>
    <row r="110" spans="1:36" ht="16.2" thickBot="1">
      <c r="A110" s="112" t="s">
        <v>5</v>
      </c>
      <c r="B110" s="105"/>
      <c r="C110" s="46">
        <f>C60+C109</f>
        <v>0</v>
      </c>
      <c r="D110" s="104" t="str">
        <f>A110</f>
        <v>Summe</v>
      </c>
      <c r="E110" s="105"/>
      <c r="F110" s="48">
        <f>F60+F109</f>
        <v>0</v>
      </c>
      <c r="G110" s="104" t="str">
        <f>A110</f>
        <v>Summe</v>
      </c>
      <c r="H110" s="105"/>
      <c r="I110" s="46">
        <f>I60+I109</f>
        <v>0</v>
      </c>
      <c r="J110" s="104" t="str">
        <f>A110</f>
        <v>Summe</v>
      </c>
      <c r="K110" s="105"/>
      <c r="L110" s="48">
        <f>L60+L109</f>
        <v>0</v>
      </c>
      <c r="M110" s="104" t="str">
        <f>A110</f>
        <v>Summe</v>
      </c>
      <c r="N110" s="105"/>
      <c r="O110" s="46">
        <f>O60+O109</f>
        <v>0</v>
      </c>
      <c r="P110" s="104" t="str">
        <f>A110</f>
        <v>Summe</v>
      </c>
      <c r="Q110" s="105"/>
      <c r="R110" s="48">
        <f>R60+R109</f>
        <v>0</v>
      </c>
      <c r="S110" s="104" t="str">
        <f>A110</f>
        <v>Summe</v>
      </c>
      <c r="T110" s="105"/>
      <c r="U110" s="46">
        <f>U60+U109</f>
        <v>0</v>
      </c>
      <c r="V110" s="104" t="str">
        <f>A110</f>
        <v>Summe</v>
      </c>
      <c r="W110" s="105"/>
      <c r="X110" s="48">
        <f>X60+X109</f>
        <v>0</v>
      </c>
      <c r="Y110" s="104" t="str">
        <f>A110</f>
        <v>Summe</v>
      </c>
      <c r="Z110" s="105"/>
      <c r="AA110" s="46">
        <f>AA60+AA109</f>
        <v>0</v>
      </c>
      <c r="AB110" s="104" t="str">
        <f>A110</f>
        <v>Summe</v>
      </c>
      <c r="AC110" s="105"/>
      <c r="AD110" s="48">
        <f>AD60+AD109</f>
        <v>0</v>
      </c>
      <c r="AE110" s="104" t="str">
        <f>A110</f>
        <v>Summe</v>
      </c>
      <c r="AF110" s="105"/>
      <c r="AG110" s="46">
        <f>AG60+AG109</f>
        <v>0</v>
      </c>
      <c r="AH110" s="104" t="str">
        <f>A110</f>
        <v>Summe</v>
      </c>
      <c r="AI110" s="105"/>
      <c r="AJ110" s="50">
        <f>AJ60+AJ109</f>
        <v>0</v>
      </c>
    </row>
    <row r="111" spans="1:36" ht="15" thickTop="1">
      <c r="V111" s="78"/>
    </row>
    <row r="117" spans="1:17" ht="15.6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</row>
    <row r="118" spans="1:17" ht="15.6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</row>
    <row r="119" spans="1:17" ht="15.6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</row>
    <row r="120" spans="1:17" ht="15.6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</row>
    <row r="121" spans="1:17" ht="15.6">
      <c r="I121" s="25" t="s">
        <v>7</v>
      </c>
      <c r="J121" s="26" t="s">
        <v>10</v>
      </c>
      <c r="K121" s="26"/>
      <c r="L121" s="26" t="s">
        <v>9</v>
      </c>
      <c r="M121" s="26" t="s">
        <v>11</v>
      </c>
      <c r="N121" s="26"/>
      <c r="O121" s="26" t="s">
        <v>12</v>
      </c>
      <c r="P121" s="24"/>
      <c r="Q121" s="24"/>
    </row>
    <row r="122" spans="1:17" ht="15.6">
      <c r="I122" s="1">
        <v>1</v>
      </c>
      <c r="J122" s="28">
        <f>$C$60</f>
        <v>0</v>
      </c>
      <c r="K122" s="28"/>
      <c r="L122" s="28">
        <f>$C$109</f>
        <v>0</v>
      </c>
      <c r="M122" s="1">
        <f>L122+J122</f>
        <v>0</v>
      </c>
      <c r="N122" s="1"/>
      <c r="O122" s="27">
        <f>AVERAGE(M127:M129)</f>
        <v>0</v>
      </c>
      <c r="P122" s="24"/>
      <c r="Q122" s="24"/>
    </row>
    <row r="123" spans="1:17" ht="15.6">
      <c r="I123" s="1">
        <v>2</v>
      </c>
      <c r="J123" s="28">
        <f>$F$60</f>
        <v>0</v>
      </c>
      <c r="K123" s="28"/>
      <c r="L123" s="28">
        <f>$F$109</f>
        <v>0</v>
      </c>
      <c r="M123" s="1">
        <f t="shared" ref="M123:M133" si="0">L123+J123</f>
        <v>0</v>
      </c>
      <c r="N123" s="1"/>
      <c r="O123" s="27">
        <f t="shared" ref="O123:O133" si="1">O122</f>
        <v>0</v>
      </c>
      <c r="P123" s="24"/>
      <c r="Q123" s="24"/>
    </row>
    <row r="124" spans="1:17" ht="15.6">
      <c r="I124" s="1">
        <v>3</v>
      </c>
      <c r="J124" s="28">
        <f>$I$60</f>
        <v>0</v>
      </c>
      <c r="K124" s="28"/>
      <c r="L124" s="28">
        <f>$I$109</f>
        <v>0</v>
      </c>
      <c r="M124" s="1">
        <f t="shared" si="0"/>
        <v>0</v>
      </c>
      <c r="N124" s="1"/>
      <c r="O124" s="27">
        <f t="shared" si="1"/>
        <v>0</v>
      </c>
      <c r="P124" s="24"/>
      <c r="Q124" s="24"/>
    </row>
    <row r="125" spans="1:17" ht="15.6">
      <c r="I125" s="1">
        <v>4</v>
      </c>
      <c r="J125" s="28">
        <f>$L$60</f>
        <v>0</v>
      </c>
      <c r="K125" s="28"/>
      <c r="L125" s="28">
        <f>$L$109</f>
        <v>0</v>
      </c>
      <c r="M125" s="1">
        <f t="shared" si="0"/>
        <v>0</v>
      </c>
      <c r="N125" s="1"/>
      <c r="O125" s="27">
        <f t="shared" si="1"/>
        <v>0</v>
      </c>
      <c r="P125" s="24"/>
      <c r="Q125" s="24"/>
    </row>
    <row r="126" spans="1:17" ht="15.6">
      <c r="I126" s="1">
        <v>5</v>
      </c>
      <c r="J126" s="28">
        <f>$O$60</f>
        <v>0</v>
      </c>
      <c r="K126" s="28"/>
      <c r="L126" s="28">
        <f>$O$109</f>
        <v>0</v>
      </c>
      <c r="M126" s="1">
        <f t="shared" si="0"/>
        <v>0</v>
      </c>
      <c r="N126" s="1"/>
      <c r="O126" s="27">
        <f t="shared" si="1"/>
        <v>0</v>
      </c>
      <c r="P126" s="24"/>
      <c r="Q126" s="24"/>
    </row>
    <row r="127" spans="1:17" ht="15.6">
      <c r="I127" s="1">
        <v>6</v>
      </c>
      <c r="J127" s="28">
        <f>$R$60</f>
        <v>0</v>
      </c>
      <c r="K127" s="28"/>
      <c r="L127" s="28">
        <f>$R$109</f>
        <v>0</v>
      </c>
      <c r="M127" s="29">
        <f t="shared" si="0"/>
        <v>0</v>
      </c>
      <c r="N127" s="29"/>
      <c r="O127" s="27">
        <f t="shared" si="1"/>
        <v>0</v>
      </c>
      <c r="P127" s="24"/>
      <c r="Q127" s="24"/>
    </row>
    <row r="128" spans="1:17" ht="15.6">
      <c r="I128" s="1">
        <v>7</v>
      </c>
      <c r="J128" s="28">
        <f>$U$60</f>
        <v>0</v>
      </c>
      <c r="K128" s="28"/>
      <c r="L128" s="28">
        <f>$U$109</f>
        <v>0</v>
      </c>
      <c r="M128" s="30">
        <f t="shared" si="0"/>
        <v>0</v>
      </c>
      <c r="N128" s="30"/>
      <c r="O128" s="27">
        <f t="shared" si="1"/>
        <v>0</v>
      </c>
      <c r="P128" s="24"/>
      <c r="Q128" s="24"/>
    </row>
    <row r="129" spans="9:17" ht="15.6">
      <c r="I129" s="1">
        <v>8</v>
      </c>
      <c r="J129" s="28">
        <f>$X$60</f>
        <v>0</v>
      </c>
      <c r="K129" s="28"/>
      <c r="L129" s="28">
        <f>$X$109</f>
        <v>0</v>
      </c>
      <c r="M129" s="1">
        <f t="shared" si="0"/>
        <v>0</v>
      </c>
      <c r="N129" s="1"/>
      <c r="O129" s="27">
        <f t="shared" si="1"/>
        <v>0</v>
      </c>
      <c r="P129" s="24"/>
      <c r="Q129" s="24"/>
    </row>
    <row r="130" spans="9:17" ht="15.6">
      <c r="I130" s="1">
        <v>9</v>
      </c>
      <c r="J130" s="28">
        <f>$AA$60</f>
        <v>0</v>
      </c>
      <c r="K130" s="28"/>
      <c r="L130" s="28">
        <f>$AA$109</f>
        <v>0</v>
      </c>
      <c r="M130" s="1">
        <f t="shared" si="0"/>
        <v>0</v>
      </c>
      <c r="N130" s="1"/>
      <c r="O130" s="27">
        <f t="shared" si="1"/>
        <v>0</v>
      </c>
      <c r="P130" s="24"/>
      <c r="Q130" s="24"/>
    </row>
    <row r="131" spans="9:17" ht="15.6">
      <c r="I131" s="1">
        <v>10</v>
      </c>
      <c r="J131" s="28">
        <f>$AD$60</f>
        <v>0</v>
      </c>
      <c r="K131" s="28"/>
      <c r="L131" s="28">
        <f>$AD$109</f>
        <v>0</v>
      </c>
      <c r="M131" s="1">
        <f t="shared" si="0"/>
        <v>0</v>
      </c>
      <c r="N131" s="1"/>
      <c r="O131" s="27">
        <f t="shared" si="1"/>
        <v>0</v>
      </c>
      <c r="P131" s="24"/>
      <c r="Q131" s="24"/>
    </row>
    <row r="132" spans="9:17" ht="15.6">
      <c r="I132" s="1">
        <v>11</v>
      </c>
      <c r="J132" s="28">
        <f>$AG$60</f>
        <v>0</v>
      </c>
      <c r="K132" s="28"/>
      <c r="L132" s="28">
        <f>$AG$109</f>
        <v>0</v>
      </c>
      <c r="M132" s="1">
        <f t="shared" si="0"/>
        <v>0</v>
      </c>
      <c r="N132" s="1"/>
      <c r="O132" s="27">
        <f t="shared" si="1"/>
        <v>0</v>
      </c>
      <c r="P132" s="24"/>
      <c r="Q132" s="24"/>
    </row>
    <row r="133" spans="9:17" ht="15.6">
      <c r="I133" s="1">
        <v>12</v>
      </c>
      <c r="J133" s="28">
        <f>$AJ$60</f>
        <v>0</v>
      </c>
      <c r="K133" s="28"/>
      <c r="L133" s="28">
        <f>$AJ$109</f>
        <v>0</v>
      </c>
      <c r="M133" s="1">
        <f t="shared" si="0"/>
        <v>0</v>
      </c>
      <c r="N133" s="1"/>
      <c r="O133" s="27">
        <f t="shared" si="1"/>
        <v>0</v>
      </c>
      <c r="P133" s="24"/>
      <c r="Q133" s="24"/>
    </row>
  </sheetData>
  <mergeCells count="50">
    <mergeCell ref="J10:L10"/>
    <mergeCell ref="C2:D2"/>
    <mergeCell ref="C3:D3"/>
    <mergeCell ref="A10:C10"/>
    <mergeCell ref="D10:F10"/>
    <mergeCell ref="G10:I10"/>
    <mergeCell ref="AE10:AG10"/>
    <mergeCell ref="AH10:AJ10"/>
    <mergeCell ref="M10:O10"/>
    <mergeCell ref="P10:R10"/>
    <mergeCell ref="S10:U10"/>
    <mergeCell ref="V10:X10"/>
    <mergeCell ref="Y10:AA10"/>
    <mergeCell ref="AB10:AD10"/>
    <mergeCell ref="AH60:AI60"/>
    <mergeCell ref="AE60:AF60"/>
    <mergeCell ref="AB60:AC60"/>
    <mergeCell ref="Y60:Z60"/>
    <mergeCell ref="V60:W60"/>
    <mergeCell ref="S60:T60"/>
    <mergeCell ref="P60:Q60"/>
    <mergeCell ref="M60:N60"/>
    <mergeCell ref="J60:K60"/>
    <mergeCell ref="G60:H60"/>
    <mergeCell ref="D60:E60"/>
    <mergeCell ref="A60:B60"/>
    <mergeCell ref="A110:B110"/>
    <mergeCell ref="A109:B109"/>
    <mergeCell ref="D109:E109"/>
    <mergeCell ref="D110:E110"/>
    <mergeCell ref="G110:H110"/>
    <mergeCell ref="J110:K110"/>
    <mergeCell ref="G109:H109"/>
    <mergeCell ref="J109:K109"/>
    <mergeCell ref="M110:N110"/>
    <mergeCell ref="M109:N109"/>
    <mergeCell ref="P109:Q109"/>
    <mergeCell ref="P110:Q110"/>
    <mergeCell ref="S109:T109"/>
    <mergeCell ref="S110:T110"/>
    <mergeCell ref="V110:W110"/>
    <mergeCell ref="V109:W109"/>
    <mergeCell ref="AH110:AI110"/>
    <mergeCell ref="AH109:AI109"/>
    <mergeCell ref="Y109:Z109"/>
    <mergeCell ref="Y110:Z110"/>
    <mergeCell ref="AB109:AC109"/>
    <mergeCell ref="AB110:AC110"/>
    <mergeCell ref="AE110:AF110"/>
    <mergeCell ref="AE109:AF109"/>
  </mergeCells>
  <conditionalFormatting sqref="C2:C3 A61:AJ108">
    <cfRule type="cellIs" dxfId="234" priority="92" operator="lessThan">
      <formula>0</formula>
    </cfRule>
    <cfRule type="cellIs" dxfId="233" priority="93" operator="lessThan">
      <formula>0</formula>
    </cfRule>
  </conditionalFormatting>
  <conditionalFormatting sqref="C2:C3 A61:AJ108">
    <cfRule type="cellIs" dxfId="232" priority="91" operator="lessThan">
      <formula>0</formula>
    </cfRule>
  </conditionalFormatting>
  <conditionalFormatting sqref="C3 C60:C110 F60:F110 I60:I110 L60:L110 R60:R110 O60:O110 X60:X110 AA60:AA110 AD60:AD110 AG60:AG110 AJ60:AJ110 U60:U110">
    <cfRule type="cellIs" dxfId="231" priority="90" operator="greaterThan">
      <formula>0</formula>
    </cfRule>
  </conditionalFormatting>
  <conditionalFormatting sqref="C60:C108 F60:F108 I60:I108 L60:L108 O60:O108 R60:R108">
    <cfRule type="cellIs" dxfId="230" priority="88" operator="greaterThan">
      <formula>0</formula>
    </cfRule>
    <cfRule type="cellIs" dxfId="229" priority="89" operator="lessThan">
      <formula>0</formula>
    </cfRule>
  </conditionalFormatting>
  <conditionalFormatting sqref="C60:C108 F60:F108 I60:I108 L60:L108 O60:O108 R60:R108">
    <cfRule type="cellIs" dxfId="228" priority="87" operator="equal">
      <formula>0</formula>
    </cfRule>
  </conditionalFormatting>
  <conditionalFormatting sqref="I121:O133 P123:R133 P121:Q122 A10:R10 A11 R11 C11:D11 F11:G11 I11:J11 L11:M11 O11:P11 A60 R60 O60:P60 L60:M60 I60:J60 F60:G60 C60:D60 A111:R120 A109:A110 C109:D110 F109:G110 I109:J110 L109:M110 O109:P110 R109:R110">
    <cfRule type="cellIs" dxfId="227" priority="85" operator="lessThan">
      <formula>0</formula>
    </cfRule>
    <cfRule type="cellIs" dxfId="226" priority="86" operator="lessThan">
      <formula>0</formula>
    </cfRule>
  </conditionalFormatting>
  <conditionalFormatting sqref="I121:O133 P123:R133 P121:Q122 A10:R10 A11 R11 C11:D11 F11:G11 I11:J11 L11:M11 O11:P11 A60 R60 O60:P60 L60:M60 I60:J60 F60:G60 C60:D60 A111:R120 A109:A110 C109:D110 F109:G110 I109:J110 L109:M110 O109:P110 R109:R110">
    <cfRule type="cellIs" dxfId="225" priority="84" operator="lessThan">
      <formula>0</formula>
    </cfRule>
  </conditionalFormatting>
  <conditionalFormatting sqref="J122:O133">
    <cfRule type="cellIs" dxfId="224" priority="83" operator="greaterThan">
      <formula>0</formula>
    </cfRule>
  </conditionalFormatting>
  <conditionalFormatting sqref="U109">
    <cfRule type="cellIs" dxfId="223" priority="80" operator="greaterThan">
      <formula>0</formula>
    </cfRule>
    <cfRule type="cellIs" dxfId="222" priority="81" operator="greaterThan">
      <formula>1287.38</formula>
    </cfRule>
    <cfRule type="cellIs" dxfId="221" priority="82" operator="lessThan">
      <formula>0</formula>
    </cfRule>
  </conditionalFormatting>
  <conditionalFormatting sqref="X60:X108 AA60:AA108 AD60:AD108 AG60:AG108 AJ60:AJ108 U60:U108">
    <cfRule type="cellIs" dxfId="220" priority="78" operator="equal">
      <formula>0</formula>
    </cfRule>
    <cfRule type="cellIs" dxfId="219" priority="79" operator="greaterThan">
      <formula>0</formula>
    </cfRule>
  </conditionalFormatting>
  <conditionalFormatting sqref="S10:AJ10 T11:U11 W11:X11 Z11:AA11 AC11:AD11 AF11:AG11 AI11:AJ11 S60 AJ60 AG60:AH60 AD60:AE60 AA60:AB60 X60:Y60 U60:V60 S109:S110 U109:V110 X109:Y110 AA109:AB110 AD109:AE110 AG109:AH110 AJ109:AJ110">
    <cfRule type="cellIs" dxfId="218" priority="75" operator="lessThan">
      <formula>0</formula>
    </cfRule>
    <cfRule type="cellIs" dxfId="217" priority="76" operator="lessThan">
      <formula>0</formula>
    </cfRule>
  </conditionalFormatting>
  <conditionalFormatting sqref="S10:AJ10 T11:U11 W11:X11 Z11:AA11 AC11:AD11 AF11:AG11 AI11:AJ11 S60 AJ60 AG60:AH60 AD60:AE60 AA60:AB60 X60:Y60 U60:V60 S109:S110 U109:V110 X109:Y110 AA109:AB110 AD109:AE110 AG109:AH110 AJ109:AJ110">
    <cfRule type="cellIs" dxfId="216" priority="74" operator="lessThan">
      <formula>0</formula>
    </cfRule>
  </conditionalFormatting>
  <conditionalFormatting sqref="J122:O133">
    <cfRule type="cellIs" dxfId="215" priority="72" operator="equal">
      <formula>0</formula>
    </cfRule>
  </conditionalFormatting>
  <conditionalFormatting sqref="C109 F109 I109 L109 R109 U109 X109 AA109 AD109 AG109 AJ109">
    <cfRule type="cellIs" dxfId="214" priority="71" operator="equal">
      <formula>0</formula>
    </cfRule>
  </conditionalFormatting>
  <conditionalFormatting sqref="O109">
    <cfRule type="cellIs" dxfId="213" priority="70" operator="equal">
      <formula>0</formula>
    </cfRule>
  </conditionalFormatting>
  <conditionalFormatting sqref="U109">
    <cfRule type="cellIs" dxfId="212" priority="68" operator="lessThan">
      <formula>0</formula>
    </cfRule>
    <cfRule type="cellIs" dxfId="211" priority="69" operator="lessThan">
      <formula>0</formula>
    </cfRule>
  </conditionalFormatting>
  <conditionalFormatting sqref="U109">
    <cfRule type="cellIs" dxfId="210" priority="67" operator="lessThan">
      <formula>0</formula>
    </cfRule>
  </conditionalFormatting>
  <conditionalFormatting sqref="U109">
    <cfRule type="cellIs" dxfId="209" priority="66" operator="greaterThan">
      <formula>0</formula>
    </cfRule>
  </conditionalFormatting>
  <conditionalFormatting sqref="X109">
    <cfRule type="cellIs" dxfId="208" priority="64" operator="lessThan">
      <formula>0</formula>
    </cfRule>
    <cfRule type="cellIs" dxfId="207" priority="65" operator="lessThan">
      <formula>0</formula>
    </cfRule>
  </conditionalFormatting>
  <conditionalFormatting sqref="X109">
    <cfRule type="cellIs" dxfId="206" priority="63" operator="lessThan">
      <formula>0</formula>
    </cfRule>
  </conditionalFormatting>
  <conditionalFormatting sqref="X109">
    <cfRule type="cellIs" dxfId="205" priority="62" operator="greaterThan">
      <formula>0</formula>
    </cfRule>
  </conditionalFormatting>
  <conditionalFormatting sqref="AA109">
    <cfRule type="cellIs" dxfId="204" priority="60" operator="lessThan">
      <formula>0</formula>
    </cfRule>
    <cfRule type="cellIs" dxfId="203" priority="61" operator="lessThan">
      <formula>0</formula>
    </cfRule>
  </conditionalFormatting>
  <conditionalFormatting sqref="AA109">
    <cfRule type="cellIs" dxfId="202" priority="59" operator="lessThan">
      <formula>0</formula>
    </cfRule>
  </conditionalFormatting>
  <conditionalFormatting sqref="AA109">
    <cfRule type="cellIs" dxfId="201" priority="58" operator="greaterThan">
      <formula>0</formula>
    </cfRule>
  </conditionalFormatting>
  <conditionalFormatting sqref="AD109">
    <cfRule type="cellIs" dxfId="200" priority="56" operator="lessThan">
      <formula>0</formula>
    </cfRule>
    <cfRule type="cellIs" dxfId="199" priority="57" operator="lessThan">
      <formula>0</formula>
    </cfRule>
  </conditionalFormatting>
  <conditionalFormatting sqref="AD109">
    <cfRule type="cellIs" dxfId="198" priority="55" operator="lessThan">
      <formula>0</formula>
    </cfRule>
  </conditionalFormatting>
  <conditionalFormatting sqref="AD109">
    <cfRule type="cellIs" dxfId="197" priority="54" operator="greaterThan">
      <formula>0</formula>
    </cfRule>
  </conditionalFormatting>
  <conditionalFormatting sqref="AG109">
    <cfRule type="cellIs" dxfId="196" priority="52" operator="lessThan">
      <formula>0</formula>
    </cfRule>
    <cfRule type="cellIs" dxfId="195" priority="53" operator="lessThan">
      <formula>0</formula>
    </cfRule>
  </conditionalFormatting>
  <conditionalFormatting sqref="AG109">
    <cfRule type="cellIs" dxfId="194" priority="51" operator="lessThan">
      <formula>0</formula>
    </cfRule>
  </conditionalFormatting>
  <conditionalFormatting sqref="AG109">
    <cfRule type="cellIs" dxfId="193" priority="50" operator="greaterThan">
      <formula>0</formula>
    </cfRule>
  </conditionalFormatting>
  <conditionalFormatting sqref="AJ109">
    <cfRule type="cellIs" dxfId="192" priority="48" operator="lessThan">
      <formula>0</formula>
    </cfRule>
    <cfRule type="cellIs" dxfId="191" priority="49" operator="lessThan">
      <formula>0</formula>
    </cfRule>
  </conditionalFormatting>
  <conditionalFormatting sqref="AJ109">
    <cfRule type="cellIs" dxfId="190" priority="47" operator="lessThan">
      <formula>0</formula>
    </cfRule>
  </conditionalFormatting>
  <conditionalFormatting sqref="AJ109">
    <cfRule type="cellIs" dxfId="189" priority="46" operator="greaterThan">
      <formula>0</formula>
    </cfRule>
  </conditionalFormatting>
  <conditionalFormatting sqref="Q11">
    <cfRule type="cellIs" dxfId="188" priority="44" operator="lessThan">
      <formula>0</formula>
    </cfRule>
    <cfRule type="cellIs" dxfId="187" priority="45" operator="lessThan">
      <formula>0</formula>
    </cfRule>
  </conditionalFormatting>
  <conditionalFormatting sqref="Q11">
    <cfRule type="cellIs" dxfId="186" priority="43" operator="lessThan">
      <formula>0</formula>
    </cfRule>
  </conditionalFormatting>
  <conditionalFormatting sqref="N11">
    <cfRule type="cellIs" dxfId="185" priority="41" operator="lessThan">
      <formula>0</formula>
    </cfRule>
    <cfRule type="cellIs" dxfId="184" priority="42" operator="lessThan">
      <formula>0</formula>
    </cfRule>
  </conditionalFormatting>
  <conditionalFormatting sqref="N11">
    <cfRule type="cellIs" dxfId="183" priority="40" operator="lessThan">
      <formula>0</formula>
    </cfRule>
  </conditionalFormatting>
  <conditionalFormatting sqref="K11">
    <cfRule type="cellIs" dxfId="182" priority="38" operator="lessThan">
      <formula>0</formula>
    </cfRule>
    <cfRule type="cellIs" dxfId="181" priority="39" operator="lessThan">
      <formula>0</formula>
    </cfRule>
  </conditionalFormatting>
  <conditionalFormatting sqref="K11">
    <cfRule type="cellIs" dxfId="180" priority="37" operator="lessThan">
      <formula>0</formula>
    </cfRule>
  </conditionalFormatting>
  <conditionalFormatting sqref="B11">
    <cfRule type="cellIs" dxfId="179" priority="35" operator="lessThan">
      <formula>0</formula>
    </cfRule>
    <cfRule type="cellIs" dxfId="178" priority="36" operator="lessThan">
      <formula>0</formula>
    </cfRule>
  </conditionalFormatting>
  <conditionalFormatting sqref="B11">
    <cfRule type="cellIs" dxfId="177" priority="34" operator="lessThan">
      <formula>0</formula>
    </cfRule>
  </conditionalFormatting>
  <conditionalFormatting sqref="E11">
    <cfRule type="cellIs" dxfId="176" priority="32" operator="lessThan">
      <formula>0</formula>
    </cfRule>
    <cfRule type="cellIs" dxfId="175" priority="33" operator="lessThan">
      <formula>0</formula>
    </cfRule>
  </conditionalFormatting>
  <conditionalFormatting sqref="E11">
    <cfRule type="cellIs" dxfId="174" priority="31" operator="lessThan">
      <formula>0</formula>
    </cfRule>
  </conditionalFormatting>
  <conditionalFormatting sqref="H11">
    <cfRule type="cellIs" dxfId="173" priority="29" operator="lessThan">
      <formula>0</formula>
    </cfRule>
    <cfRule type="cellIs" dxfId="172" priority="30" operator="lessThan">
      <formula>0</formula>
    </cfRule>
  </conditionalFormatting>
  <conditionalFormatting sqref="H11">
    <cfRule type="cellIs" dxfId="171" priority="28" operator="lessThan">
      <formula>0</formula>
    </cfRule>
  </conditionalFormatting>
  <conditionalFormatting sqref="S11">
    <cfRule type="cellIs" dxfId="170" priority="26" operator="lessThan">
      <formula>0</formula>
    </cfRule>
    <cfRule type="cellIs" dxfId="169" priority="27" operator="lessThan">
      <formula>0</formula>
    </cfRule>
  </conditionalFormatting>
  <conditionalFormatting sqref="S11">
    <cfRule type="cellIs" dxfId="168" priority="25" operator="lessThan">
      <formula>0</formula>
    </cfRule>
  </conditionalFormatting>
  <conditionalFormatting sqref="V11">
    <cfRule type="cellIs" dxfId="167" priority="23" operator="lessThan">
      <formula>0</formula>
    </cfRule>
    <cfRule type="cellIs" dxfId="166" priority="24" operator="lessThan">
      <formula>0</formula>
    </cfRule>
  </conditionalFormatting>
  <conditionalFormatting sqref="V11">
    <cfRule type="cellIs" dxfId="165" priority="22" operator="lessThan">
      <formula>0</formula>
    </cfRule>
  </conditionalFormatting>
  <conditionalFormatting sqref="Y11">
    <cfRule type="cellIs" dxfId="164" priority="20" operator="lessThan">
      <formula>0</formula>
    </cfRule>
    <cfRule type="cellIs" dxfId="163" priority="21" operator="lessThan">
      <formula>0</formula>
    </cfRule>
  </conditionalFormatting>
  <conditionalFormatting sqref="Y11">
    <cfRule type="cellIs" dxfId="162" priority="19" operator="lessThan">
      <formula>0</formula>
    </cfRule>
  </conditionalFormatting>
  <conditionalFormatting sqref="AB11">
    <cfRule type="cellIs" dxfId="161" priority="17" operator="lessThan">
      <formula>0</formula>
    </cfRule>
    <cfRule type="cellIs" dxfId="160" priority="18" operator="lessThan">
      <formula>0</formula>
    </cfRule>
  </conditionalFormatting>
  <conditionalFormatting sqref="AB11">
    <cfRule type="cellIs" dxfId="159" priority="16" operator="lessThan">
      <formula>0</formula>
    </cfRule>
  </conditionalFormatting>
  <conditionalFormatting sqref="AE11">
    <cfRule type="cellIs" dxfId="158" priority="14" operator="lessThan">
      <formula>0</formula>
    </cfRule>
    <cfRule type="cellIs" dxfId="157" priority="15" operator="lessThan">
      <formula>0</formula>
    </cfRule>
  </conditionalFormatting>
  <conditionalFormatting sqref="AE11">
    <cfRule type="cellIs" dxfId="156" priority="13" operator="lessThan">
      <formula>0</formula>
    </cfRule>
  </conditionalFormatting>
  <conditionalFormatting sqref="AH11">
    <cfRule type="cellIs" dxfId="155" priority="11" operator="lessThan">
      <formula>0</formula>
    </cfRule>
    <cfRule type="cellIs" dxfId="154" priority="12" operator="lessThan">
      <formula>0</formula>
    </cfRule>
  </conditionalFormatting>
  <conditionalFormatting sqref="AH11">
    <cfRule type="cellIs" dxfId="153" priority="10" operator="lessThan">
      <formula>0</formula>
    </cfRule>
  </conditionalFormatting>
  <conditionalFormatting sqref="A12:AJ59">
    <cfRule type="cellIs" dxfId="152" priority="8" operator="lessThan">
      <formula>0</formula>
    </cfRule>
    <cfRule type="cellIs" dxfId="151" priority="9" operator="lessThan">
      <formula>0</formula>
    </cfRule>
  </conditionalFormatting>
  <conditionalFormatting sqref="A12:AJ59">
    <cfRule type="cellIs" dxfId="150" priority="7" operator="lessThan">
      <formula>0</formula>
    </cfRule>
  </conditionalFormatting>
  <conditionalFormatting sqref="C12:C59 F12:F59 I12:I59 L12:L59 R12:R59 O12:O59 X12:X59 AA12:AA59 AD12:AD59 AG12:AG59 AJ12:AJ59 U12:U59">
    <cfRule type="cellIs" dxfId="149" priority="6" operator="greaterThan">
      <formula>0</formula>
    </cfRule>
  </conditionalFormatting>
  <conditionalFormatting sqref="C12:C59 F12:F59 I12:I59 L12:L59 O12:O59 R12:R59">
    <cfRule type="cellIs" dxfId="148" priority="4" operator="greaterThan">
      <formula>0</formula>
    </cfRule>
    <cfRule type="cellIs" dxfId="147" priority="5" operator="lessThan">
      <formula>0</formula>
    </cfRule>
  </conditionalFormatting>
  <conditionalFormatting sqref="C12:C59 F12:F59 I12:I59 L12:L59 O12:O59 R12:R59">
    <cfRule type="cellIs" dxfId="146" priority="3" operator="equal">
      <formula>0</formula>
    </cfRule>
  </conditionalFormatting>
  <conditionalFormatting sqref="X12:X59 AA12:AA59 AD12:AD59 AG12:AG59 AJ12:AJ59 U12:U59">
    <cfRule type="cellIs" dxfId="145" priority="1" operator="equal">
      <formula>0</formula>
    </cfRule>
    <cfRule type="cellIs" dxfId="144" priority="2" operator="greaterThan">
      <formula>0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start_transaction">
                <anchor moveWithCells="1" sizeWithCells="1">
                  <from>
                    <xdr:col>5</xdr:col>
                    <xdr:colOff>1181100</xdr:colOff>
                    <xdr:row>1</xdr:row>
                    <xdr:rowOff>15240</xdr:rowOff>
                  </from>
                  <to>
                    <xdr:col>12</xdr:col>
                    <xdr:colOff>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Calc_Sum">
                <anchor moveWithCells="1" sizeWithCells="1">
                  <from>
                    <xdr:col>12</xdr:col>
                    <xdr:colOff>624840</xdr:colOff>
                    <xdr:row>1</xdr:row>
                    <xdr:rowOff>30480</xdr:rowOff>
                  </from>
                  <to>
                    <xdr:col>15</xdr:col>
                    <xdr:colOff>716280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A8BDD-0F6E-405A-A2E1-4A9F6EDDB1DD}">
  <sheetPr codeName="Tabelle1">
    <tabColor theme="5" tint="0.39997558519241921"/>
  </sheetPr>
  <dimension ref="A1:X144"/>
  <sheetViews>
    <sheetView topLeftCell="A101" zoomScale="54" workbookViewId="0">
      <selection activeCell="O133" sqref="O133"/>
    </sheetView>
  </sheetViews>
  <sheetFormatPr baseColWidth="10" defaultRowHeight="14.4"/>
  <cols>
    <col min="1" max="1" width="11" bestFit="1" customWidth="1"/>
    <col min="2" max="2" width="17.77734375" bestFit="1" customWidth="1"/>
    <col min="3" max="3" width="11" bestFit="1" customWidth="1"/>
    <col min="4" max="4" width="17.77734375" bestFit="1" customWidth="1"/>
    <col min="5" max="5" width="10" bestFit="1" customWidth="1"/>
    <col min="6" max="6" width="17.77734375" bestFit="1" customWidth="1"/>
    <col min="7" max="7" width="12.88671875" bestFit="1" customWidth="1"/>
    <col min="8" max="8" width="17.77734375" bestFit="1" customWidth="1"/>
    <col min="9" max="9" width="11" customWidth="1"/>
    <col min="10" max="10" width="17.77734375" bestFit="1" customWidth="1"/>
    <col min="11" max="11" width="11" bestFit="1" customWidth="1"/>
    <col min="12" max="12" width="17.77734375" bestFit="1" customWidth="1"/>
    <col min="13" max="13" width="11" bestFit="1" customWidth="1"/>
    <col min="14" max="14" width="17.77734375" bestFit="1" customWidth="1"/>
    <col min="15" max="15" width="11" bestFit="1" customWidth="1"/>
    <col min="16" max="16" width="17.77734375" bestFit="1" customWidth="1"/>
    <col min="17" max="17" width="11" bestFit="1" customWidth="1"/>
    <col min="18" max="18" width="17.77734375" bestFit="1" customWidth="1"/>
    <col min="19" max="19" width="11" bestFit="1" customWidth="1"/>
    <col min="20" max="20" width="17.77734375" bestFit="1" customWidth="1"/>
    <col min="21" max="21" width="11" bestFit="1" customWidth="1"/>
    <col min="22" max="22" width="17.77734375" bestFit="1" customWidth="1"/>
    <col min="23" max="23" width="11" bestFit="1" customWidth="1"/>
    <col min="24" max="24" width="17.77734375" bestFit="1" customWidth="1"/>
  </cols>
  <sheetData>
    <row r="1" spans="1:24" s="61" customFormat="1" ht="15" thickBot="1"/>
    <row r="2" spans="1:24" s="61" customFormat="1" ht="37.200000000000003" thickTop="1">
      <c r="B2" s="119" t="s">
        <v>15</v>
      </c>
      <c r="C2" s="120"/>
    </row>
    <row r="3" spans="1:24" s="61" customFormat="1" ht="37.200000000000003" thickBot="1">
      <c r="B3" s="121">
        <v>0</v>
      </c>
      <c r="C3" s="122"/>
    </row>
    <row r="4" spans="1:24" s="61" customFormat="1" ht="15" thickTop="1"/>
    <row r="5" spans="1:24" s="61" customFormat="1"/>
    <row r="6" spans="1:24" s="62" customFormat="1" ht="15" thickBot="1">
      <c r="J6" s="62" t="s">
        <v>23</v>
      </c>
    </row>
    <row r="7" spans="1:24" ht="15" thickTop="1"/>
    <row r="9" spans="1:24" ht="15" thickBot="1"/>
    <row r="10" spans="1:24" ht="27" thickTop="1" thickBot="1">
      <c r="A10" s="102">
        <v>1</v>
      </c>
      <c r="B10" s="103"/>
      <c r="C10" s="100">
        <v>2</v>
      </c>
      <c r="D10" s="101"/>
      <c r="E10" s="94">
        <v>3</v>
      </c>
      <c r="F10" s="94"/>
      <c r="G10" s="100">
        <v>4</v>
      </c>
      <c r="H10" s="101"/>
      <c r="I10" s="94">
        <v>5</v>
      </c>
      <c r="J10" s="94"/>
      <c r="K10" s="100">
        <v>6</v>
      </c>
      <c r="L10" s="101"/>
      <c r="M10" s="94">
        <v>7</v>
      </c>
      <c r="N10" s="94"/>
      <c r="O10" s="100">
        <v>8</v>
      </c>
      <c r="P10" s="101"/>
      <c r="Q10" s="94">
        <v>9</v>
      </c>
      <c r="R10" s="94"/>
      <c r="S10" s="100">
        <v>10</v>
      </c>
      <c r="T10" s="101"/>
      <c r="U10" s="94">
        <v>11</v>
      </c>
      <c r="V10" s="94"/>
      <c r="W10" s="94">
        <v>12</v>
      </c>
      <c r="X10" s="95"/>
    </row>
    <row r="11" spans="1:24" ht="16.8" thickTop="1" thickBot="1">
      <c r="A11" s="2" t="s">
        <v>1</v>
      </c>
      <c r="B11" s="3" t="s">
        <v>0</v>
      </c>
      <c r="C11" s="4" t="s">
        <v>1</v>
      </c>
      <c r="D11" s="5" t="s">
        <v>0</v>
      </c>
      <c r="E11" s="6" t="s">
        <v>1</v>
      </c>
      <c r="F11" s="3" t="s">
        <v>0</v>
      </c>
      <c r="G11" s="4" t="s">
        <v>1</v>
      </c>
      <c r="H11" s="5" t="s">
        <v>0</v>
      </c>
      <c r="I11" s="6" t="s">
        <v>1</v>
      </c>
      <c r="J11" s="3" t="s">
        <v>0</v>
      </c>
      <c r="K11" s="4" t="s">
        <v>1</v>
      </c>
      <c r="L11" s="5" t="s">
        <v>0</v>
      </c>
      <c r="M11" s="6" t="s">
        <v>1</v>
      </c>
      <c r="N11" s="3" t="s">
        <v>0</v>
      </c>
      <c r="O11" s="4" t="s">
        <v>1</v>
      </c>
      <c r="P11" s="5" t="s">
        <v>0</v>
      </c>
      <c r="Q11" s="6" t="s">
        <v>1</v>
      </c>
      <c r="R11" s="3" t="s">
        <v>0</v>
      </c>
      <c r="S11" s="4" t="s">
        <v>1</v>
      </c>
      <c r="T11" s="5" t="s">
        <v>0</v>
      </c>
      <c r="U11" s="6" t="s">
        <v>1</v>
      </c>
      <c r="V11" s="3" t="s">
        <v>0</v>
      </c>
      <c r="W11" s="4" t="s">
        <v>1</v>
      </c>
      <c r="X11" s="7" t="s">
        <v>0</v>
      </c>
    </row>
    <row r="12" spans="1:24" ht="15.6">
      <c r="A12" s="8"/>
      <c r="B12" s="9"/>
      <c r="C12" s="10"/>
      <c r="D12" s="11"/>
      <c r="E12" s="12"/>
      <c r="F12" s="9"/>
      <c r="G12" s="10"/>
      <c r="H12" s="11"/>
      <c r="I12" s="12"/>
      <c r="J12" s="9"/>
      <c r="K12" s="10"/>
      <c r="L12" s="11"/>
      <c r="M12" s="12"/>
      <c r="N12" s="9"/>
      <c r="O12" s="10"/>
      <c r="P12" s="11"/>
      <c r="Q12" s="12"/>
      <c r="R12" s="9"/>
      <c r="S12" s="10"/>
      <c r="T12" s="11"/>
      <c r="U12" s="12"/>
      <c r="V12" s="9"/>
      <c r="W12" s="10"/>
      <c r="X12" s="13"/>
    </row>
    <row r="13" spans="1:24" ht="15.6">
      <c r="A13" s="8"/>
      <c r="B13" s="9"/>
      <c r="C13" s="10"/>
      <c r="D13" s="11"/>
      <c r="E13" s="12"/>
      <c r="F13" s="9"/>
      <c r="G13" s="10"/>
      <c r="H13" s="11"/>
      <c r="I13" s="12"/>
      <c r="J13" s="9"/>
      <c r="K13" s="10"/>
      <c r="L13" s="11"/>
      <c r="M13" s="12"/>
      <c r="N13" s="9"/>
      <c r="O13" s="10"/>
      <c r="P13" s="11"/>
      <c r="Q13" s="12"/>
      <c r="R13" s="9"/>
      <c r="S13" s="10"/>
      <c r="T13" s="11"/>
      <c r="U13" s="12"/>
      <c r="V13" s="9"/>
      <c r="W13" s="10"/>
      <c r="X13" s="13"/>
    </row>
    <row r="14" spans="1:24" ht="15.6">
      <c r="A14" s="8"/>
      <c r="B14" s="9"/>
      <c r="C14" s="10"/>
      <c r="D14" s="14"/>
      <c r="E14" s="12"/>
      <c r="F14" s="15"/>
      <c r="G14" s="10"/>
      <c r="H14" s="14"/>
      <c r="I14" s="12"/>
      <c r="J14" s="15"/>
      <c r="K14" s="10"/>
      <c r="L14" s="11"/>
      <c r="M14" s="12"/>
      <c r="N14" s="15"/>
      <c r="O14" s="10"/>
      <c r="P14" s="14"/>
      <c r="Q14" s="12"/>
      <c r="R14" s="15"/>
      <c r="S14" s="10"/>
      <c r="T14" s="14"/>
      <c r="U14" s="12"/>
      <c r="V14" s="15"/>
      <c r="W14" s="10"/>
      <c r="X14" s="16"/>
    </row>
    <row r="15" spans="1:24" ht="15.6">
      <c r="A15" s="8"/>
      <c r="B15" s="9"/>
      <c r="C15" s="10"/>
      <c r="D15" s="11"/>
      <c r="E15" s="17"/>
      <c r="F15" s="9"/>
      <c r="G15" s="10"/>
      <c r="H15" s="11"/>
      <c r="I15" s="12"/>
      <c r="J15" s="9"/>
      <c r="K15" s="10"/>
      <c r="L15" s="11"/>
      <c r="M15" s="12"/>
      <c r="N15" s="9"/>
      <c r="O15" s="18"/>
      <c r="P15" s="11"/>
      <c r="Q15" s="12"/>
      <c r="R15" s="9"/>
      <c r="S15" s="10"/>
      <c r="T15" s="11"/>
      <c r="U15" s="12"/>
      <c r="V15" s="9"/>
      <c r="W15" s="10"/>
      <c r="X15" s="13"/>
    </row>
    <row r="16" spans="1:24" ht="15.6">
      <c r="A16" s="8"/>
      <c r="B16" s="9"/>
      <c r="C16" s="10"/>
      <c r="D16" s="11"/>
      <c r="E16" s="17"/>
      <c r="F16" s="9"/>
      <c r="G16" s="10"/>
      <c r="H16" s="11"/>
      <c r="I16" s="12"/>
      <c r="J16" s="9"/>
      <c r="K16" s="10"/>
      <c r="L16" s="11"/>
      <c r="M16" s="12"/>
      <c r="N16" s="9"/>
      <c r="O16" s="18"/>
      <c r="P16" s="11"/>
      <c r="Q16" s="12"/>
      <c r="R16" s="9"/>
      <c r="S16" s="10"/>
      <c r="T16" s="11"/>
      <c r="U16" s="12"/>
      <c r="V16" s="9"/>
      <c r="W16" s="10"/>
      <c r="X16" s="13"/>
    </row>
    <row r="17" spans="1:24" ht="15.6">
      <c r="A17" s="8"/>
      <c r="B17" s="9"/>
      <c r="C17" s="10"/>
      <c r="D17" s="11"/>
      <c r="E17" s="17"/>
      <c r="F17" s="9"/>
      <c r="G17" s="10"/>
      <c r="H17" s="11"/>
      <c r="I17" s="12"/>
      <c r="J17" s="9"/>
      <c r="K17" s="10"/>
      <c r="L17" s="11"/>
      <c r="M17" s="12"/>
      <c r="N17" s="9"/>
      <c r="O17" s="18"/>
      <c r="P17" s="11"/>
      <c r="Q17" s="12"/>
      <c r="R17" s="9"/>
      <c r="S17" s="10"/>
      <c r="T17" s="11"/>
      <c r="U17" s="12"/>
      <c r="V17" s="9"/>
      <c r="W17" s="10"/>
      <c r="X17" s="13"/>
    </row>
    <row r="18" spans="1:24" ht="15.6">
      <c r="A18" s="8"/>
      <c r="B18" s="9"/>
      <c r="C18" s="10"/>
      <c r="D18" s="11"/>
      <c r="E18" s="17"/>
      <c r="F18" s="9"/>
      <c r="G18" s="10"/>
      <c r="H18" s="11"/>
      <c r="I18" s="12"/>
      <c r="J18" s="9"/>
      <c r="K18" s="10"/>
      <c r="L18" s="11"/>
      <c r="M18" s="17"/>
      <c r="N18" s="9"/>
      <c r="O18" s="18"/>
      <c r="P18" s="11"/>
      <c r="Q18" s="12"/>
      <c r="R18" s="9"/>
      <c r="S18" s="10"/>
      <c r="T18" s="11"/>
      <c r="U18" s="12"/>
      <c r="V18" s="9"/>
      <c r="W18" s="10"/>
      <c r="X18" s="13"/>
    </row>
    <row r="19" spans="1:24" ht="15.6">
      <c r="A19" s="8"/>
      <c r="B19" s="9"/>
      <c r="C19" s="18"/>
      <c r="D19" s="11"/>
      <c r="E19" s="17"/>
      <c r="F19" s="9"/>
      <c r="G19" s="10"/>
      <c r="H19" s="11"/>
      <c r="I19" s="12"/>
      <c r="J19" s="9"/>
      <c r="K19" s="10"/>
      <c r="L19" s="11"/>
      <c r="M19" s="17"/>
      <c r="N19" s="9"/>
      <c r="O19" s="18"/>
      <c r="P19" s="11"/>
      <c r="Q19" s="12"/>
      <c r="R19" s="9"/>
      <c r="S19" s="10"/>
      <c r="T19" s="11"/>
      <c r="U19" s="12"/>
      <c r="V19" s="9"/>
      <c r="W19" s="10"/>
      <c r="X19" s="13"/>
    </row>
    <row r="20" spans="1:24" ht="15.6">
      <c r="A20" s="8"/>
      <c r="B20" s="9"/>
      <c r="C20" s="18"/>
      <c r="D20" s="11"/>
      <c r="E20" s="17"/>
      <c r="F20" s="19"/>
      <c r="G20" s="10"/>
      <c r="H20" s="11"/>
      <c r="I20" s="12"/>
      <c r="J20" s="9"/>
      <c r="K20" s="10"/>
      <c r="L20" s="11"/>
      <c r="M20" s="17"/>
      <c r="N20" s="9"/>
      <c r="O20" s="18"/>
      <c r="P20" s="11"/>
      <c r="Q20" s="12"/>
      <c r="R20" s="9"/>
      <c r="S20" s="10"/>
      <c r="T20" s="11"/>
      <c r="U20" s="12"/>
      <c r="V20" s="9"/>
      <c r="W20" s="10"/>
      <c r="X20" s="13"/>
    </row>
    <row r="21" spans="1:24" ht="15.6">
      <c r="A21" s="8"/>
      <c r="B21" s="9"/>
      <c r="C21" s="18"/>
      <c r="D21" s="20"/>
      <c r="E21" s="12"/>
      <c r="F21" s="9"/>
      <c r="G21" s="10"/>
      <c r="H21" s="11"/>
      <c r="I21" s="12"/>
      <c r="J21" s="9"/>
      <c r="K21" s="10"/>
      <c r="L21" s="11"/>
      <c r="M21" s="17"/>
      <c r="N21" s="9"/>
      <c r="O21" s="10"/>
      <c r="P21" s="11"/>
      <c r="Q21" s="12"/>
      <c r="R21" s="9"/>
      <c r="S21" s="10"/>
      <c r="T21" s="11"/>
      <c r="U21" s="12"/>
      <c r="V21" s="9"/>
      <c r="W21" s="10"/>
      <c r="X21" s="13"/>
    </row>
    <row r="22" spans="1:24" ht="15.6">
      <c r="A22" s="8"/>
      <c r="B22" s="9"/>
      <c r="C22" s="18"/>
      <c r="D22" s="11"/>
      <c r="E22" s="12"/>
      <c r="F22" s="9"/>
      <c r="G22" s="10"/>
      <c r="H22" s="11"/>
      <c r="I22" s="12"/>
      <c r="J22" s="9"/>
      <c r="K22" s="10"/>
      <c r="L22" s="11"/>
      <c r="M22" s="17"/>
      <c r="N22" s="9"/>
      <c r="O22" s="10"/>
      <c r="P22" s="11"/>
      <c r="Q22" s="12"/>
      <c r="R22" s="9"/>
      <c r="S22" s="10"/>
      <c r="T22" s="11"/>
      <c r="U22" s="12"/>
      <c r="V22" s="9"/>
      <c r="W22" s="10"/>
      <c r="X22" s="13"/>
    </row>
    <row r="23" spans="1:24" ht="15.6">
      <c r="A23" s="8"/>
      <c r="B23" s="9"/>
      <c r="C23" s="18"/>
      <c r="D23" s="11"/>
      <c r="E23" s="12"/>
      <c r="F23" s="9"/>
      <c r="G23" s="10"/>
      <c r="H23" s="11"/>
      <c r="I23" s="12"/>
      <c r="J23" s="9"/>
      <c r="K23" s="10"/>
      <c r="L23" s="11"/>
      <c r="M23" s="17"/>
      <c r="N23" s="9"/>
      <c r="O23" s="10"/>
      <c r="P23" s="11"/>
      <c r="Q23" s="12"/>
      <c r="R23" s="9"/>
      <c r="S23" s="10"/>
      <c r="T23" s="11"/>
      <c r="U23" s="12"/>
      <c r="V23" s="9"/>
      <c r="W23" s="10"/>
      <c r="X23" s="13"/>
    </row>
    <row r="24" spans="1:24" ht="15.6">
      <c r="A24" s="8"/>
      <c r="B24" s="9"/>
      <c r="C24" s="18"/>
      <c r="D24" s="11"/>
      <c r="E24" s="12"/>
      <c r="F24" s="9"/>
      <c r="G24" s="10"/>
      <c r="H24" s="11"/>
      <c r="I24" s="12"/>
      <c r="J24" s="9"/>
      <c r="K24" s="10"/>
      <c r="L24" s="11"/>
      <c r="M24" s="17"/>
      <c r="N24" s="9"/>
      <c r="O24" s="10"/>
      <c r="P24" s="11"/>
      <c r="Q24" s="12"/>
      <c r="R24" s="9"/>
      <c r="S24" s="10"/>
      <c r="T24" s="11"/>
      <c r="U24" s="12"/>
      <c r="V24" s="9"/>
      <c r="W24" s="10"/>
      <c r="X24" s="13"/>
    </row>
    <row r="25" spans="1:24" ht="15.6">
      <c r="A25" s="8"/>
      <c r="B25" s="9"/>
      <c r="C25" s="18"/>
      <c r="D25" s="11"/>
      <c r="E25" s="12"/>
      <c r="F25" s="9"/>
      <c r="G25" s="10"/>
      <c r="H25" s="11"/>
      <c r="I25" s="12"/>
      <c r="J25" s="9"/>
      <c r="K25" s="10"/>
      <c r="L25" s="11"/>
      <c r="M25" s="17"/>
      <c r="N25" s="9"/>
      <c r="O25" s="10"/>
      <c r="P25" s="11"/>
      <c r="Q25" s="12"/>
      <c r="R25" s="9"/>
      <c r="S25" s="10"/>
      <c r="T25" s="11"/>
      <c r="U25" s="12"/>
      <c r="V25" s="9"/>
      <c r="W25" s="10"/>
      <c r="X25" s="13"/>
    </row>
    <row r="26" spans="1:24" ht="15.6">
      <c r="A26" s="8"/>
      <c r="B26" s="9"/>
      <c r="C26" s="18"/>
      <c r="D26" s="11"/>
      <c r="E26" s="12"/>
      <c r="F26" s="9"/>
      <c r="G26" s="10"/>
      <c r="H26" s="11"/>
      <c r="I26" s="12"/>
      <c r="J26" s="9"/>
      <c r="K26" s="10"/>
      <c r="L26" s="11"/>
      <c r="M26" s="17"/>
      <c r="N26" s="9"/>
      <c r="O26" s="10"/>
      <c r="P26" s="11"/>
      <c r="Q26" s="12"/>
      <c r="R26" s="9"/>
      <c r="S26" s="10"/>
      <c r="T26" s="11"/>
      <c r="U26" s="12"/>
      <c r="V26" s="9"/>
      <c r="W26" s="10"/>
      <c r="X26" s="13"/>
    </row>
    <row r="27" spans="1:24" ht="15.6">
      <c r="A27" s="8"/>
      <c r="B27" s="9"/>
      <c r="C27" s="18"/>
      <c r="D27" s="11"/>
      <c r="E27" s="12"/>
      <c r="F27" s="9"/>
      <c r="G27" s="10"/>
      <c r="H27" s="11"/>
      <c r="I27" s="12"/>
      <c r="J27" s="9"/>
      <c r="K27" s="10"/>
      <c r="L27" s="11"/>
      <c r="M27" s="17"/>
      <c r="N27" s="9"/>
      <c r="O27" s="10"/>
      <c r="P27" s="11"/>
      <c r="Q27" s="12"/>
      <c r="R27" s="9"/>
      <c r="S27" s="10"/>
      <c r="T27" s="11"/>
      <c r="U27" s="12"/>
      <c r="V27" s="9"/>
      <c r="W27" s="10"/>
      <c r="X27" s="13"/>
    </row>
    <row r="28" spans="1:24" ht="15.6">
      <c r="A28" s="8"/>
      <c r="B28" s="9"/>
      <c r="C28" s="18"/>
      <c r="D28" s="11"/>
      <c r="E28" s="12"/>
      <c r="F28" s="9"/>
      <c r="G28" s="10"/>
      <c r="H28" s="11"/>
      <c r="I28" s="12"/>
      <c r="J28" s="9"/>
      <c r="K28" s="10"/>
      <c r="L28" s="11"/>
      <c r="M28" s="17"/>
      <c r="N28" s="9"/>
      <c r="O28" s="10"/>
      <c r="P28" s="11"/>
      <c r="Q28" s="12"/>
      <c r="R28" s="9"/>
      <c r="S28" s="10"/>
      <c r="T28" s="11"/>
      <c r="U28" s="12"/>
      <c r="V28" s="9"/>
      <c r="W28" s="10"/>
      <c r="X28" s="13"/>
    </row>
    <row r="29" spans="1:24" ht="15.6">
      <c r="A29" s="8"/>
      <c r="B29" s="9"/>
      <c r="C29" s="18"/>
      <c r="D29" s="11"/>
      <c r="E29" s="12"/>
      <c r="F29" s="9"/>
      <c r="G29" s="10"/>
      <c r="H29" s="11"/>
      <c r="I29" s="12"/>
      <c r="J29" s="9"/>
      <c r="K29" s="10"/>
      <c r="L29" s="11"/>
      <c r="M29" s="17"/>
      <c r="N29" s="9"/>
      <c r="O29" s="10"/>
      <c r="P29" s="11"/>
      <c r="Q29" s="12"/>
      <c r="R29" s="9"/>
      <c r="S29" s="10"/>
      <c r="T29" s="11"/>
      <c r="U29" s="12"/>
      <c r="V29" s="9"/>
      <c r="W29" s="10"/>
      <c r="X29" s="13"/>
    </row>
    <row r="30" spans="1:24" ht="15.6">
      <c r="A30" s="8"/>
      <c r="B30" s="9"/>
      <c r="C30" s="18"/>
      <c r="D30" s="11"/>
      <c r="E30" s="12"/>
      <c r="F30" s="9"/>
      <c r="G30" s="10"/>
      <c r="H30" s="11"/>
      <c r="I30" s="12"/>
      <c r="J30" s="9"/>
      <c r="K30" s="10"/>
      <c r="L30" s="11"/>
      <c r="M30" s="17"/>
      <c r="N30" s="9"/>
      <c r="O30" s="10"/>
      <c r="P30" s="11"/>
      <c r="Q30" s="12"/>
      <c r="R30" s="9"/>
      <c r="S30" s="10"/>
      <c r="T30" s="11"/>
      <c r="U30" s="12"/>
      <c r="V30" s="9"/>
      <c r="W30" s="10"/>
      <c r="X30" s="13"/>
    </row>
    <row r="31" spans="1:24" ht="15.6">
      <c r="A31" s="8"/>
      <c r="B31" s="9"/>
      <c r="C31" s="18"/>
      <c r="D31" s="11"/>
      <c r="E31" s="12"/>
      <c r="F31" s="9"/>
      <c r="G31" s="10"/>
      <c r="H31" s="11"/>
      <c r="I31" s="12"/>
      <c r="J31" s="9"/>
      <c r="K31" s="10"/>
      <c r="L31" s="11"/>
      <c r="M31" s="17"/>
      <c r="N31" s="9"/>
      <c r="O31" s="10"/>
      <c r="P31" s="11"/>
      <c r="Q31" s="12"/>
      <c r="R31" s="9"/>
      <c r="S31" s="10"/>
      <c r="T31" s="11"/>
      <c r="U31" s="12"/>
      <c r="V31" s="9"/>
      <c r="W31" s="10"/>
      <c r="X31" s="13"/>
    </row>
    <row r="32" spans="1:24" ht="15.6">
      <c r="A32" s="8"/>
      <c r="B32" s="9"/>
      <c r="C32" s="18"/>
      <c r="D32" s="11"/>
      <c r="E32" s="12"/>
      <c r="F32" s="9"/>
      <c r="G32" s="10"/>
      <c r="H32" s="11"/>
      <c r="I32" s="12"/>
      <c r="J32" s="9"/>
      <c r="K32" s="10"/>
      <c r="L32" s="11"/>
      <c r="M32" s="17"/>
      <c r="N32" s="9"/>
      <c r="O32" s="10"/>
      <c r="P32" s="11"/>
      <c r="Q32" s="12"/>
      <c r="R32" s="9"/>
      <c r="S32" s="10"/>
      <c r="T32" s="11"/>
      <c r="U32" s="12"/>
      <c r="V32" s="9"/>
      <c r="W32" s="10"/>
      <c r="X32" s="13"/>
    </row>
    <row r="33" spans="1:24" ht="15.6">
      <c r="A33" s="8"/>
      <c r="B33" s="9"/>
      <c r="C33" s="18"/>
      <c r="D33" s="11"/>
      <c r="E33" s="12"/>
      <c r="F33" s="9"/>
      <c r="G33" s="10"/>
      <c r="H33" s="11"/>
      <c r="I33" s="12"/>
      <c r="J33" s="9"/>
      <c r="K33" s="10"/>
      <c r="L33" s="11"/>
      <c r="M33" s="17"/>
      <c r="N33" s="9"/>
      <c r="O33" s="10"/>
      <c r="P33" s="11"/>
      <c r="Q33" s="12"/>
      <c r="R33" s="9"/>
      <c r="S33" s="10"/>
      <c r="T33" s="11"/>
      <c r="U33" s="12"/>
      <c r="V33" s="9"/>
      <c r="W33" s="10"/>
      <c r="X33" s="13"/>
    </row>
    <row r="34" spans="1:24" ht="15.6">
      <c r="A34" s="8"/>
      <c r="B34" s="9"/>
      <c r="C34" s="18"/>
      <c r="D34" s="11"/>
      <c r="E34" s="12"/>
      <c r="F34" s="9"/>
      <c r="G34" s="10"/>
      <c r="H34" s="11"/>
      <c r="I34" s="12"/>
      <c r="J34" s="9"/>
      <c r="K34" s="10"/>
      <c r="L34" s="11"/>
      <c r="M34" s="17"/>
      <c r="N34" s="9"/>
      <c r="O34" s="10"/>
      <c r="P34" s="11"/>
      <c r="Q34" s="12"/>
      <c r="R34" s="9"/>
      <c r="S34" s="10"/>
      <c r="T34" s="11"/>
      <c r="U34" s="12"/>
      <c r="V34" s="9"/>
      <c r="W34" s="10"/>
      <c r="X34" s="13"/>
    </row>
    <row r="35" spans="1:24" ht="15.6">
      <c r="A35" s="8"/>
      <c r="B35" s="9"/>
      <c r="C35" s="18"/>
      <c r="D35" s="11"/>
      <c r="E35" s="12"/>
      <c r="F35" s="9"/>
      <c r="G35" s="10"/>
      <c r="H35" s="11"/>
      <c r="I35" s="12"/>
      <c r="J35" s="9"/>
      <c r="K35" s="10"/>
      <c r="L35" s="11"/>
      <c r="M35" s="17"/>
      <c r="N35" s="9"/>
      <c r="O35" s="10"/>
      <c r="P35" s="11"/>
      <c r="Q35" s="12"/>
      <c r="R35" s="9"/>
      <c r="S35" s="10"/>
      <c r="T35" s="11"/>
      <c r="U35" s="12"/>
      <c r="V35" s="9"/>
      <c r="W35" s="10"/>
      <c r="X35" s="13"/>
    </row>
    <row r="36" spans="1:24" ht="15.6">
      <c r="A36" s="8"/>
      <c r="B36" s="9"/>
      <c r="C36" s="18"/>
      <c r="D36" s="11"/>
      <c r="E36" s="12"/>
      <c r="F36" s="9"/>
      <c r="G36" s="10"/>
      <c r="H36" s="11"/>
      <c r="I36" s="12"/>
      <c r="J36" s="9"/>
      <c r="K36" s="10"/>
      <c r="L36" s="11"/>
      <c r="M36" s="17"/>
      <c r="N36" s="9"/>
      <c r="O36" s="10"/>
      <c r="P36" s="11"/>
      <c r="Q36" s="12"/>
      <c r="R36" s="9"/>
      <c r="S36" s="10"/>
      <c r="T36" s="11"/>
      <c r="U36" s="12"/>
      <c r="V36" s="9"/>
      <c r="W36" s="10"/>
      <c r="X36" s="13"/>
    </row>
    <row r="37" spans="1:24" ht="15.6">
      <c r="A37" s="8"/>
      <c r="B37" s="9"/>
      <c r="C37" s="18"/>
      <c r="D37" s="11"/>
      <c r="E37" s="12"/>
      <c r="F37" s="9"/>
      <c r="G37" s="10"/>
      <c r="H37" s="11"/>
      <c r="I37" s="12"/>
      <c r="J37" s="9"/>
      <c r="K37" s="10"/>
      <c r="L37" s="11"/>
      <c r="M37" s="17"/>
      <c r="N37" s="9"/>
      <c r="O37" s="10"/>
      <c r="P37" s="11"/>
      <c r="Q37" s="12"/>
      <c r="R37" s="9"/>
      <c r="S37" s="10"/>
      <c r="T37" s="11"/>
      <c r="U37" s="12"/>
      <c r="V37" s="9"/>
      <c r="W37" s="10"/>
      <c r="X37" s="13"/>
    </row>
    <row r="38" spans="1:24" ht="15.6">
      <c r="A38" s="8"/>
      <c r="B38" s="9"/>
      <c r="C38" s="18"/>
      <c r="D38" s="11"/>
      <c r="E38" s="12"/>
      <c r="F38" s="9"/>
      <c r="G38" s="10"/>
      <c r="H38" s="11"/>
      <c r="I38" s="12"/>
      <c r="J38" s="9"/>
      <c r="K38" s="10"/>
      <c r="L38" s="11"/>
      <c r="M38" s="17"/>
      <c r="N38" s="9"/>
      <c r="O38" s="10"/>
      <c r="P38" s="11"/>
      <c r="Q38" s="12"/>
      <c r="R38" s="9"/>
      <c r="S38" s="10"/>
      <c r="T38" s="11"/>
      <c r="U38" s="12"/>
      <c r="V38" s="9"/>
      <c r="W38" s="10"/>
      <c r="X38" s="13"/>
    </row>
    <row r="39" spans="1:24" ht="15.6">
      <c r="A39" s="8"/>
      <c r="B39" s="9"/>
      <c r="C39" s="18"/>
      <c r="D39" s="11"/>
      <c r="E39" s="12"/>
      <c r="F39" s="9"/>
      <c r="G39" s="10"/>
      <c r="H39" s="11"/>
      <c r="I39" s="12"/>
      <c r="J39" s="9"/>
      <c r="K39" s="10"/>
      <c r="L39" s="11"/>
      <c r="M39" s="17"/>
      <c r="N39" s="9"/>
      <c r="O39" s="10"/>
      <c r="P39" s="11"/>
      <c r="Q39" s="12"/>
      <c r="R39" s="9"/>
      <c r="S39" s="10"/>
      <c r="T39" s="11"/>
      <c r="U39" s="12"/>
      <c r="V39" s="9"/>
      <c r="W39" s="10"/>
      <c r="X39" s="13"/>
    </row>
    <row r="40" spans="1:24" ht="15.6">
      <c r="A40" s="8"/>
      <c r="B40" s="9"/>
      <c r="C40" s="18"/>
      <c r="D40" s="11"/>
      <c r="E40" s="12"/>
      <c r="F40" s="9"/>
      <c r="G40" s="10"/>
      <c r="H40" s="11"/>
      <c r="I40" s="12"/>
      <c r="J40" s="9"/>
      <c r="K40" s="10"/>
      <c r="L40" s="11"/>
      <c r="M40" s="17"/>
      <c r="N40" s="9"/>
      <c r="O40" s="10"/>
      <c r="P40" s="11"/>
      <c r="Q40" s="12"/>
      <c r="R40" s="9"/>
      <c r="S40" s="10"/>
      <c r="T40" s="11"/>
      <c r="U40" s="12"/>
      <c r="V40" s="9"/>
      <c r="W40" s="10"/>
      <c r="X40" s="13"/>
    </row>
    <row r="41" spans="1:24" ht="15.6">
      <c r="A41" s="8"/>
      <c r="B41" s="9"/>
      <c r="C41" s="18"/>
      <c r="D41" s="11"/>
      <c r="E41" s="12"/>
      <c r="F41" s="9"/>
      <c r="G41" s="10"/>
      <c r="H41" s="11"/>
      <c r="I41" s="12"/>
      <c r="J41" s="9"/>
      <c r="K41" s="10"/>
      <c r="L41" s="11"/>
      <c r="M41" s="17"/>
      <c r="N41" s="9"/>
      <c r="O41" s="10"/>
      <c r="P41" s="11"/>
      <c r="Q41" s="12"/>
      <c r="R41" s="9"/>
      <c r="S41" s="10"/>
      <c r="T41" s="11"/>
      <c r="U41" s="12"/>
      <c r="V41" s="9"/>
      <c r="W41" s="10"/>
      <c r="X41" s="13"/>
    </row>
    <row r="42" spans="1:24" ht="15.6">
      <c r="A42" s="8"/>
      <c r="B42" s="9"/>
      <c r="C42" s="18"/>
      <c r="D42" s="11"/>
      <c r="E42" s="12"/>
      <c r="F42" s="9"/>
      <c r="G42" s="10"/>
      <c r="H42" s="11"/>
      <c r="I42" s="12"/>
      <c r="J42" s="9"/>
      <c r="K42" s="10"/>
      <c r="L42" s="11"/>
      <c r="M42" s="17"/>
      <c r="N42" s="9"/>
      <c r="O42" s="10"/>
      <c r="P42" s="11"/>
      <c r="Q42" s="12"/>
      <c r="R42" s="9"/>
      <c r="S42" s="10"/>
      <c r="T42" s="11"/>
      <c r="U42" s="12"/>
      <c r="V42" s="9"/>
      <c r="W42" s="10"/>
      <c r="X42" s="13"/>
    </row>
    <row r="43" spans="1:24" ht="15.6">
      <c r="A43" s="8"/>
      <c r="B43" s="9"/>
      <c r="C43" s="18"/>
      <c r="D43" s="11"/>
      <c r="E43" s="12"/>
      <c r="F43" s="9"/>
      <c r="G43" s="10"/>
      <c r="H43" s="11"/>
      <c r="I43" s="12"/>
      <c r="J43" s="9"/>
      <c r="K43" s="10"/>
      <c r="L43" s="11"/>
      <c r="M43" s="17"/>
      <c r="N43" s="9"/>
      <c r="O43" s="10"/>
      <c r="P43" s="11"/>
      <c r="Q43" s="12"/>
      <c r="R43" s="9"/>
      <c r="S43" s="10"/>
      <c r="T43" s="11"/>
      <c r="U43" s="12"/>
      <c r="V43" s="9"/>
      <c r="W43" s="10"/>
      <c r="X43" s="13"/>
    </row>
    <row r="44" spans="1:24" ht="15.6">
      <c r="A44" s="8"/>
      <c r="B44" s="9"/>
      <c r="C44" s="18"/>
      <c r="D44" s="11"/>
      <c r="E44" s="12"/>
      <c r="F44" s="9"/>
      <c r="G44" s="10"/>
      <c r="H44" s="11"/>
      <c r="I44" s="12"/>
      <c r="J44" s="9"/>
      <c r="K44" s="10"/>
      <c r="L44" s="11"/>
      <c r="M44" s="17"/>
      <c r="N44" s="9"/>
      <c r="O44" s="10"/>
      <c r="P44" s="11"/>
      <c r="Q44" s="12"/>
      <c r="R44" s="9"/>
      <c r="S44" s="10"/>
      <c r="T44" s="11"/>
      <c r="U44" s="12"/>
      <c r="V44" s="9"/>
      <c r="W44" s="10"/>
      <c r="X44" s="13"/>
    </row>
    <row r="45" spans="1:24" ht="15.6">
      <c r="A45" s="8"/>
      <c r="B45" s="9"/>
      <c r="C45" s="18"/>
      <c r="D45" s="11"/>
      <c r="E45" s="12"/>
      <c r="F45" s="9"/>
      <c r="G45" s="10"/>
      <c r="H45" s="11"/>
      <c r="I45" s="12"/>
      <c r="J45" s="9"/>
      <c r="K45" s="10"/>
      <c r="L45" s="11"/>
      <c r="M45" s="17"/>
      <c r="N45" s="9"/>
      <c r="O45" s="10"/>
      <c r="P45" s="11"/>
      <c r="Q45" s="12"/>
      <c r="R45" s="9"/>
      <c r="S45" s="10"/>
      <c r="T45" s="11"/>
      <c r="U45" s="12"/>
      <c r="V45" s="9"/>
      <c r="W45" s="10"/>
      <c r="X45" s="13"/>
    </row>
    <row r="46" spans="1:24" ht="15.6">
      <c r="A46" s="8"/>
      <c r="B46" s="9"/>
      <c r="C46" s="18"/>
      <c r="D46" s="11"/>
      <c r="E46" s="12"/>
      <c r="F46" s="9"/>
      <c r="G46" s="10"/>
      <c r="H46" s="11"/>
      <c r="I46" s="12"/>
      <c r="J46" s="9"/>
      <c r="K46" s="10"/>
      <c r="L46" s="11"/>
      <c r="M46" s="17"/>
      <c r="N46" s="9"/>
      <c r="O46" s="10"/>
      <c r="P46" s="11"/>
      <c r="Q46" s="12"/>
      <c r="R46" s="9"/>
      <c r="S46" s="10"/>
      <c r="T46" s="11"/>
      <c r="U46" s="12"/>
      <c r="V46" s="9"/>
      <c r="W46" s="10"/>
      <c r="X46" s="13"/>
    </row>
    <row r="47" spans="1:24" ht="15.6">
      <c r="A47" s="8"/>
      <c r="B47" s="9"/>
      <c r="C47" s="18"/>
      <c r="D47" s="11"/>
      <c r="E47" s="12"/>
      <c r="F47" s="9"/>
      <c r="G47" s="10"/>
      <c r="H47" s="11"/>
      <c r="I47" s="12"/>
      <c r="J47" s="9"/>
      <c r="K47" s="10"/>
      <c r="L47" s="11"/>
      <c r="M47" s="17"/>
      <c r="N47" s="9"/>
      <c r="O47" s="10"/>
      <c r="P47" s="11"/>
      <c r="Q47" s="12"/>
      <c r="R47" s="9"/>
      <c r="S47" s="10"/>
      <c r="T47" s="11"/>
      <c r="U47" s="12"/>
      <c r="V47" s="9"/>
      <c r="W47" s="10"/>
      <c r="X47" s="13"/>
    </row>
    <row r="48" spans="1:24" ht="15.6">
      <c r="A48" s="8"/>
      <c r="B48" s="9"/>
      <c r="C48" s="18"/>
      <c r="D48" s="11"/>
      <c r="E48" s="12"/>
      <c r="F48" s="9"/>
      <c r="G48" s="10"/>
      <c r="H48" s="11"/>
      <c r="I48" s="12"/>
      <c r="J48" s="9"/>
      <c r="K48" s="10"/>
      <c r="L48" s="11"/>
      <c r="M48" s="17"/>
      <c r="N48" s="9"/>
      <c r="O48" s="10"/>
      <c r="P48" s="11"/>
      <c r="Q48" s="12"/>
      <c r="R48" s="9"/>
      <c r="S48" s="10"/>
      <c r="T48" s="11"/>
      <c r="U48" s="12"/>
      <c r="V48" s="9"/>
      <c r="W48" s="10"/>
      <c r="X48" s="13"/>
    </row>
    <row r="49" spans="1:24" ht="15.6">
      <c r="A49" s="8"/>
      <c r="B49" s="9"/>
      <c r="C49" s="18"/>
      <c r="D49" s="11"/>
      <c r="E49" s="12"/>
      <c r="F49" s="9"/>
      <c r="G49" s="10"/>
      <c r="H49" s="11"/>
      <c r="I49" s="12"/>
      <c r="J49" s="9"/>
      <c r="K49" s="10"/>
      <c r="L49" s="11"/>
      <c r="M49" s="17"/>
      <c r="N49" s="9"/>
      <c r="O49" s="10"/>
      <c r="P49" s="11"/>
      <c r="Q49" s="12"/>
      <c r="R49" s="9"/>
      <c r="S49" s="10"/>
      <c r="T49" s="11"/>
      <c r="U49" s="12"/>
      <c r="V49" s="9"/>
      <c r="W49" s="10"/>
      <c r="X49" s="13"/>
    </row>
    <row r="50" spans="1:24" ht="15.6">
      <c r="A50" s="8"/>
      <c r="B50" s="9"/>
      <c r="C50" s="18"/>
      <c r="D50" s="11"/>
      <c r="E50" s="12"/>
      <c r="F50" s="9"/>
      <c r="G50" s="10"/>
      <c r="H50" s="11"/>
      <c r="I50" s="12"/>
      <c r="J50" s="9"/>
      <c r="K50" s="10"/>
      <c r="L50" s="11"/>
      <c r="M50" s="17"/>
      <c r="N50" s="9"/>
      <c r="O50" s="10"/>
      <c r="P50" s="11"/>
      <c r="Q50" s="12"/>
      <c r="R50" s="9"/>
      <c r="S50" s="10"/>
      <c r="T50" s="11"/>
      <c r="U50" s="12"/>
      <c r="V50" s="9"/>
      <c r="W50" s="10"/>
      <c r="X50" s="13"/>
    </row>
    <row r="51" spans="1:24" ht="15.6">
      <c r="A51" s="8"/>
      <c r="B51" s="9"/>
      <c r="C51" s="18"/>
      <c r="D51" s="11"/>
      <c r="E51" s="12"/>
      <c r="F51" s="9"/>
      <c r="G51" s="10"/>
      <c r="H51" s="11"/>
      <c r="I51" s="12"/>
      <c r="J51" s="9"/>
      <c r="K51" s="10"/>
      <c r="L51" s="11"/>
      <c r="M51" s="17"/>
      <c r="N51" s="9"/>
      <c r="O51" s="10"/>
      <c r="P51" s="11"/>
      <c r="Q51" s="12"/>
      <c r="R51" s="9"/>
      <c r="S51" s="10"/>
      <c r="T51" s="11"/>
      <c r="U51" s="12"/>
      <c r="V51" s="9"/>
      <c r="W51" s="10"/>
      <c r="X51" s="13"/>
    </row>
    <row r="52" spans="1:24" ht="15.6">
      <c r="A52" s="8"/>
      <c r="B52" s="9"/>
      <c r="C52" s="18"/>
      <c r="D52" s="11"/>
      <c r="E52" s="12"/>
      <c r="F52" s="9"/>
      <c r="G52" s="10"/>
      <c r="H52" s="11"/>
      <c r="I52" s="12"/>
      <c r="J52" s="9"/>
      <c r="K52" s="10"/>
      <c r="L52" s="11"/>
      <c r="M52" s="17"/>
      <c r="N52" s="9"/>
      <c r="O52" s="10"/>
      <c r="P52" s="11"/>
      <c r="Q52" s="12"/>
      <c r="R52" s="9"/>
      <c r="S52" s="10"/>
      <c r="T52" s="11"/>
      <c r="U52" s="12"/>
      <c r="V52" s="9"/>
      <c r="W52" s="10"/>
      <c r="X52" s="13"/>
    </row>
    <row r="53" spans="1:24" ht="15.6">
      <c r="A53" s="8"/>
      <c r="B53" s="9"/>
      <c r="C53" s="18"/>
      <c r="D53" s="11"/>
      <c r="E53" s="12"/>
      <c r="F53" s="9"/>
      <c r="G53" s="10"/>
      <c r="H53" s="11"/>
      <c r="I53" s="12"/>
      <c r="J53" s="9"/>
      <c r="K53" s="10"/>
      <c r="L53" s="11"/>
      <c r="M53" s="17"/>
      <c r="N53" s="9"/>
      <c r="O53" s="10"/>
      <c r="P53" s="11"/>
      <c r="Q53" s="12"/>
      <c r="R53" s="9"/>
      <c r="S53" s="10"/>
      <c r="T53" s="11"/>
      <c r="U53" s="12"/>
      <c r="V53" s="9"/>
      <c r="W53" s="10"/>
      <c r="X53" s="13"/>
    </row>
    <row r="54" spans="1:24" ht="15.6">
      <c r="A54" s="8"/>
      <c r="B54" s="9"/>
      <c r="C54" s="18"/>
      <c r="D54" s="11"/>
      <c r="E54" s="12"/>
      <c r="F54" s="9"/>
      <c r="G54" s="10"/>
      <c r="H54" s="11"/>
      <c r="I54" s="12"/>
      <c r="J54" s="9"/>
      <c r="K54" s="10"/>
      <c r="L54" s="11"/>
      <c r="M54" s="17"/>
      <c r="N54" s="9"/>
      <c r="O54" s="10"/>
      <c r="P54" s="11"/>
      <c r="Q54" s="12"/>
      <c r="R54" s="9"/>
      <c r="S54" s="10"/>
      <c r="T54" s="11"/>
      <c r="U54" s="12"/>
      <c r="V54" s="9"/>
      <c r="W54" s="10"/>
      <c r="X54" s="13"/>
    </row>
    <row r="55" spans="1:24" ht="15.6">
      <c r="A55" s="8"/>
      <c r="B55" s="9"/>
      <c r="C55" s="18"/>
      <c r="D55" s="11"/>
      <c r="E55" s="12"/>
      <c r="F55" s="9"/>
      <c r="G55" s="10"/>
      <c r="H55" s="11"/>
      <c r="I55" s="12"/>
      <c r="J55" s="9"/>
      <c r="K55" s="10"/>
      <c r="L55" s="11"/>
      <c r="M55" s="17"/>
      <c r="N55" s="9"/>
      <c r="O55" s="10"/>
      <c r="P55" s="11"/>
      <c r="Q55" s="12"/>
      <c r="R55" s="9"/>
      <c r="S55" s="10"/>
      <c r="T55" s="11"/>
      <c r="U55" s="12"/>
      <c r="V55" s="9"/>
      <c r="W55" s="10"/>
      <c r="X55" s="13"/>
    </row>
    <row r="56" spans="1:24" ht="15.6">
      <c r="A56" s="8"/>
      <c r="B56" s="9"/>
      <c r="C56" s="18"/>
      <c r="D56" s="11"/>
      <c r="E56" s="12"/>
      <c r="F56" s="9"/>
      <c r="G56" s="10"/>
      <c r="H56" s="11"/>
      <c r="I56" s="12"/>
      <c r="J56" s="9"/>
      <c r="K56" s="10"/>
      <c r="L56" s="11"/>
      <c r="M56" s="17"/>
      <c r="N56" s="9"/>
      <c r="O56" s="10"/>
      <c r="P56" s="11"/>
      <c r="Q56" s="12"/>
      <c r="R56" s="9"/>
      <c r="S56" s="10"/>
      <c r="T56" s="11"/>
      <c r="U56" s="12"/>
      <c r="V56" s="9"/>
      <c r="W56" s="10"/>
      <c r="X56" s="13"/>
    </row>
    <row r="57" spans="1:24" ht="15.6">
      <c r="A57" s="8"/>
      <c r="B57" s="9"/>
      <c r="C57" s="18"/>
      <c r="D57" s="11"/>
      <c r="E57" s="12"/>
      <c r="F57" s="9"/>
      <c r="G57" s="10"/>
      <c r="H57" s="11"/>
      <c r="I57" s="12"/>
      <c r="J57" s="9"/>
      <c r="K57" s="10"/>
      <c r="L57" s="11"/>
      <c r="M57" s="17"/>
      <c r="N57" s="9"/>
      <c r="O57" s="10"/>
      <c r="P57" s="11"/>
      <c r="Q57" s="12"/>
      <c r="R57" s="9"/>
      <c r="S57" s="10"/>
      <c r="T57" s="11"/>
      <c r="U57" s="12"/>
      <c r="V57" s="9"/>
      <c r="W57" s="10"/>
      <c r="X57" s="13"/>
    </row>
    <row r="58" spans="1:24" ht="15.6">
      <c r="A58" s="8"/>
      <c r="B58" s="9"/>
      <c r="C58" s="18"/>
      <c r="D58" s="11"/>
      <c r="E58" s="12"/>
      <c r="F58" s="9"/>
      <c r="G58" s="10"/>
      <c r="H58" s="11"/>
      <c r="I58" s="12"/>
      <c r="J58" s="9"/>
      <c r="K58" s="10"/>
      <c r="L58" s="11"/>
      <c r="M58" s="17"/>
      <c r="N58" s="9"/>
      <c r="O58" s="10"/>
      <c r="P58" s="11"/>
      <c r="Q58" s="12"/>
      <c r="R58" s="9"/>
      <c r="S58" s="10"/>
      <c r="T58" s="11"/>
      <c r="U58" s="12"/>
      <c r="V58" s="9"/>
      <c r="W58" s="10"/>
      <c r="X58" s="13"/>
    </row>
    <row r="59" spans="1:24" ht="15.6">
      <c r="A59" s="8"/>
      <c r="B59" s="9"/>
      <c r="C59" s="10"/>
      <c r="D59" s="11"/>
      <c r="E59" s="12"/>
      <c r="F59" s="9"/>
      <c r="G59" s="10"/>
      <c r="H59" s="11"/>
      <c r="I59" s="12"/>
      <c r="J59" s="9"/>
      <c r="K59" s="10"/>
      <c r="L59" s="11"/>
      <c r="M59" s="12"/>
      <c r="N59" s="9"/>
      <c r="O59" s="10"/>
      <c r="P59" s="11"/>
      <c r="Q59" s="12"/>
      <c r="R59" s="9"/>
      <c r="S59" s="10"/>
      <c r="T59" s="11"/>
      <c r="U59" s="12"/>
      <c r="V59" s="9"/>
      <c r="W59" s="10"/>
      <c r="X59" s="13"/>
    </row>
    <row r="60" spans="1:24" ht="16.2" thickBot="1">
      <c r="A60" s="31" t="s">
        <v>16</v>
      </c>
      <c r="B60" s="32">
        <f>SUM(B12:B59)</f>
        <v>0</v>
      </c>
      <c r="C60" s="33" t="str">
        <f>A60</f>
        <v>Summe -</v>
      </c>
      <c r="D60" s="34">
        <f>SUM(D12:D59)</f>
        <v>0</v>
      </c>
      <c r="E60" s="35" t="str">
        <f>A60</f>
        <v>Summe -</v>
      </c>
      <c r="F60" s="32">
        <f>SUM(F12:F59)</f>
        <v>0</v>
      </c>
      <c r="G60" s="33" t="str">
        <f>A60</f>
        <v>Summe -</v>
      </c>
      <c r="H60" s="34">
        <f>SUM(H12:H59)</f>
        <v>0</v>
      </c>
      <c r="I60" s="35" t="str">
        <f>A60</f>
        <v>Summe -</v>
      </c>
      <c r="J60" s="32">
        <f>SUM(J12:J59)</f>
        <v>0</v>
      </c>
      <c r="K60" s="33" t="str">
        <f>A60</f>
        <v>Summe -</v>
      </c>
      <c r="L60" s="34">
        <f>SUM(L12:L59)</f>
        <v>0</v>
      </c>
      <c r="M60" s="35" t="str">
        <f>A60</f>
        <v>Summe -</v>
      </c>
      <c r="N60" s="32">
        <f>SUM(N12:N59)</f>
        <v>0</v>
      </c>
      <c r="O60" s="33" t="str">
        <f>A60</f>
        <v>Summe -</v>
      </c>
      <c r="P60" s="34">
        <f>SUM(P12:P59)</f>
        <v>0</v>
      </c>
      <c r="Q60" s="35" t="str">
        <f>A60</f>
        <v>Summe -</v>
      </c>
      <c r="R60" s="32">
        <f>SUM(R12:R59)</f>
        <v>0</v>
      </c>
      <c r="S60" s="33" t="str">
        <f>A60</f>
        <v>Summe -</v>
      </c>
      <c r="T60" s="34">
        <f>SUM(T12:T59)</f>
        <v>0</v>
      </c>
      <c r="U60" s="35" t="str">
        <f>A60</f>
        <v>Summe -</v>
      </c>
      <c r="V60" s="32">
        <f>SUM(V12:V59)</f>
        <v>0</v>
      </c>
      <c r="W60" s="33" t="str">
        <f>A60</f>
        <v>Summe -</v>
      </c>
      <c r="X60" s="36">
        <f>SUM(X12:X59)</f>
        <v>0</v>
      </c>
    </row>
    <row r="61" spans="1:24" ht="15.6">
      <c r="A61" s="8"/>
      <c r="B61" s="21"/>
      <c r="C61" s="10"/>
      <c r="D61" s="22"/>
      <c r="E61" s="12"/>
      <c r="F61" s="21"/>
      <c r="G61" s="10"/>
      <c r="H61" s="22"/>
      <c r="I61" s="12"/>
      <c r="J61" s="21"/>
      <c r="K61" s="10"/>
      <c r="L61" s="22"/>
      <c r="M61" s="12"/>
      <c r="N61" s="21"/>
      <c r="O61" s="10"/>
      <c r="P61" s="22"/>
      <c r="Q61" s="12"/>
      <c r="R61" s="21"/>
      <c r="S61" s="10"/>
      <c r="T61" s="22"/>
      <c r="U61" s="12"/>
      <c r="V61" s="21"/>
      <c r="W61" s="10"/>
      <c r="X61" s="23"/>
    </row>
    <row r="62" spans="1:24" ht="15.6">
      <c r="A62" s="8"/>
      <c r="B62" s="21"/>
      <c r="C62" s="10"/>
      <c r="D62" s="22"/>
      <c r="E62" s="12"/>
      <c r="F62" s="21"/>
      <c r="G62" s="10"/>
      <c r="H62" s="22"/>
      <c r="I62" s="12"/>
      <c r="J62" s="21"/>
      <c r="K62" s="10"/>
      <c r="L62" s="22"/>
      <c r="M62" s="12"/>
      <c r="N62" s="21"/>
      <c r="O62" s="10"/>
      <c r="P62" s="22"/>
      <c r="Q62" s="12"/>
      <c r="R62" s="21"/>
      <c r="S62" s="10"/>
      <c r="T62" s="22"/>
      <c r="U62" s="12"/>
      <c r="V62" s="21"/>
      <c r="W62" s="10"/>
      <c r="X62" s="23"/>
    </row>
    <row r="63" spans="1:24" ht="15.6">
      <c r="A63" s="8"/>
      <c r="B63" s="21"/>
      <c r="C63" s="10"/>
      <c r="D63" s="22"/>
      <c r="E63" s="12"/>
      <c r="F63" s="21"/>
      <c r="G63" s="10"/>
      <c r="H63" s="22"/>
      <c r="I63" s="12"/>
      <c r="J63" s="21"/>
      <c r="K63" s="10"/>
      <c r="L63" s="22"/>
      <c r="M63" s="12"/>
      <c r="N63" s="21"/>
      <c r="O63" s="10"/>
      <c r="P63" s="22"/>
      <c r="Q63" s="12"/>
      <c r="R63" s="21"/>
      <c r="S63" s="10"/>
      <c r="T63" s="22"/>
      <c r="U63" s="12"/>
      <c r="V63" s="21"/>
      <c r="W63" s="10"/>
      <c r="X63" s="23"/>
    </row>
    <row r="64" spans="1:24" ht="15.6">
      <c r="A64" s="8"/>
      <c r="B64" s="21"/>
      <c r="C64" s="10"/>
      <c r="D64" s="22"/>
      <c r="E64" s="12"/>
      <c r="F64" s="21"/>
      <c r="G64" s="10"/>
      <c r="H64" s="22"/>
      <c r="I64" s="12"/>
      <c r="J64" s="21"/>
      <c r="K64" s="10"/>
      <c r="L64" s="22"/>
      <c r="M64" s="12"/>
      <c r="N64" s="21"/>
      <c r="O64" s="10"/>
      <c r="P64" s="22"/>
      <c r="Q64" s="12"/>
      <c r="R64" s="21"/>
      <c r="S64" s="10"/>
      <c r="T64" s="22"/>
      <c r="U64" s="12"/>
      <c r="V64" s="21"/>
      <c r="W64" s="10"/>
      <c r="X64" s="23"/>
    </row>
    <row r="65" spans="1:24" ht="15.6">
      <c r="A65" s="8"/>
      <c r="B65" s="21"/>
      <c r="C65" s="10"/>
      <c r="D65" s="22"/>
      <c r="E65" s="12"/>
      <c r="F65" s="21"/>
      <c r="G65" s="10"/>
      <c r="H65" s="22"/>
      <c r="I65" s="12"/>
      <c r="J65" s="21"/>
      <c r="K65" s="10"/>
      <c r="L65" s="22"/>
      <c r="M65" s="12"/>
      <c r="N65" s="21"/>
      <c r="O65" s="10"/>
      <c r="P65" s="22"/>
      <c r="Q65" s="12"/>
      <c r="R65" s="21"/>
      <c r="S65" s="10"/>
      <c r="T65" s="22"/>
      <c r="U65" s="12"/>
      <c r="V65" s="21"/>
      <c r="W65" s="10"/>
      <c r="X65" s="23"/>
    </row>
    <row r="66" spans="1:24" ht="15.6">
      <c r="A66" s="8"/>
      <c r="B66" s="21"/>
      <c r="C66" s="10"/>
      <c r="D66" s="22"/>
      <c r="E66" s="12"/>
      <c r="F66" s="21"/>
      <c r="G66" s="10"/>
      <c r="H66" s="22"/>
      <c r="I66" s="12"/>
      <c r="J66" s="21"/>
      <c r="K66" s="10"/>
      <c r="L66" s="22"/>
      <c r="M66" s="12"/>
      <c r="N66" s="21"/>
      <c r="O66" s="10"/>
      <c r="P66" s="22"/>
      <c r="Q66" s="12"/>
      <c r="R66" s="21"/>
      <c r="S66" s="10"/>
      <c r="T66" s="22"/>
      <c r="U66" s="12"/>
      <c r="V66" s="21"/>
      <c r="W66" s="10"/>
      <c r="X66" s="23"/>
    </row>
    <row r="67" spans="1:24" ht="15.6">
      <c r="A67" s="8"/>
      <c r="B67" s="21"/>
      <c r="C67" s="10"/>
      <c r="D67" s="22"/>
      <c r="E67" s="12"/>
      <c r="F67" s="21"/>
      <c r="G67" s="10"/>
      <c r="H67" s="22"/>
      <c r="I67" s="12"/>
      <c r="J67" s="21"/>
      <c r="K67" s="10"/>
      <c r="L67" s="22"/>
      <c r="M67" s="12"/>
      <c r="N67" s="21"/>
      <c r="O67" s="10"/>
      <c r="P67" s="22"/>
      <c r="Q67" s="12"/>
      <c r="R67" s="21"/>
      <c r="S67" s="10"/>
      <c r="T67" s="22"/>
      <c r="U67" s="12"/>
      <c r="V67" s="21"/>
      <c r="W67" s="10"/>
      <c r="X67" s="23"/>
    </row>
    <row r="68" spans="1:24" ht="15.6">
      <c r="A68" s="8"/>
      <c r="B68" s="21"/>
      <c r="C68" s="10"/>
      <c r="D68" s="22"/>
      <c r="E68" s="12"/>
      <c r="F68" s="21"/>
      <c r="G68" s="10"/>
      <c r="H68" s="22"/>
      <c r="I68" s="12"/>
      <c r="J68" s="21"/>
      <c r="K68" s="10"/>
      <c r="L68" s="22"/>
      <c r="M68" s="12"/>
      <c r="N68" s="21"/>
      <c r="O68" s="10"/>
      <c r="P68" s="22"/>
      <c r="Q68" s="12"/>
      <c r="R68" s="21"/>
      <c r="S68" s="10"/>
      <c r="T68" s="22"/>
      <c r="U68" s="12"/>
      <c r="V68" s="21"/>
      <c r="W68" s="10"/>
      <c r="X68" s="23"/>
    </row>
    <row r="69" spans="1:24" ht="15.6">
      <c r="A69" s="8"/>
      <c r="B69" s="21"/>
      <c r="C69" s="10"/>
      <c r="D69" s="22"/>
      <c r="E69" s="12"/>
      <c r="F69" s="21"/>
      <c r="G69" s="10"/>
      <c r="H69" s="22"/>
      <c r="I69" s="12"/>
      <c r="J69" s="21"/>
      <c r="K69" s="10"/>
      <c r="L69" s="22"/>
      <c r="M69" s="12"/>
      <c r="N69" s="21"/>
      <c r="O69" s="10"/>
      <c r="P69" s="22"/>
      <c r="Q69" s="12"/>
      <c r="R69" s="21"/>
      <c r="S69" s="10"/>
      <c r="T69" s="22"/>
      <c r="U69" s="12"/>
      <c r="V69" s="21"/>
      <c r="W69" s="10"/>
      <c r="X69" s="23"/>
    </row>
    <row r="70" spans="1:24" ht="15.6">
      <c r="A70" s="8"/>
      <c r="B70" s="21"/>
      <c r="C70" s="10"/>
      <c r="D70" s="22"/>
      <c r="E70" s="12"/>
      <c r="F70" s="21"/>
      <c r="G70" s="10"/>
      <c r="H70" s="22"/>
      <c r="I70" s="12"/>
      <c r="J70" s="21"/>
      <c r="K70" s="10"/>
      <c r="L70" s="22"/>
      <c r="M70" s="12"/>
      <c r="N70" s="21"/>
      <c r="O70" s="10"/>
      <c r="P70" s="22"/>
      <c r="Q70" s="12"/>
      <c r="R70" s="21"/>
      <c r="S70" s="10"/>
      <c r="T70" s="22"/>
      <c r="U70" s="12"/>
      <c r="V70" s="21"/>
      <c r="W70" s="10"/>
      <c r="X70" s="23"/>
    </row>
    <row r="71" spans="1:24" ht="15.6">
      <c r="A71" s="8"/>
      <c r="B71" s="21"/>
      <c r="C71" s="10"/>
      <c r="D71" s="22"/>
      <c r="E71" s="12"/>
      <c r="F71" s="21"/>
      <c r="G71" s="10"/>
      <c r="H71" s="22"/>
      <c r="I71" s="12"/>
      <c r="J71" s="21"/>
      <c r="K71" s="10"/>
      <c r="L71" s="22"/>
      <c r="M71" s="12"/>
      <c r="N71" s="21"/>
      <c r="O71" s="10"/>
      <c r="P71" s="22"/>
      <c r="Q71" s="12"/>
      <c r="R71" s="21"/>
      <c r="S71" s="10"/>
      <c r="T71" s="22"/>
      <c r="U71" s="12"/>
      <c r="V71" s="21"/>
      <c r="W71" s="10"/>
      <c r="X71" s="23"/>
    </row>
    <row r="72" spans="1:24" ht="15.6">
      <c r="A72" s="8"/>
      <c r="B72" s="21"/>
      <c r="C72" s="10"/>
      <c r="D72" s="22"/>
      <c r="E72" s="12"/>
      <c r="F72" s="21"/>
      <c r="G72" s="10"/>
      <c r="H72" s="22"/>
      <c r="I72" s="12"/>
      <c r="J72" s="21"/>
      <c r="K72" s="10"/>
      <c r="L72" s="22"/>
      <c r="M72" s="12"/>
      <c r="N72" s="21"/>
      <c r="O72" s="10"/>
      <c r="P72" s="22"/>
      <c r="Q72" s="12"/>
      <c r="R72" s="21"/>
      <c r="S72" s="10"/>
      <c r="T72" s="22"/>
      <c r="U72" s="12"/>
      <c r="V72" s="21"/>
      <c r="W72" s="10"/>
      <c r="X72" s="23"/>
    </row>
    <row r="73" spans="1:24" ht="15.6">
      <c r="A73" s="8"/>
      <c r="B73" s="21"/>
      <c r="C73" s="10"/>
      <c r="D73" s="22"/>
      <c r="E73" s="12"/>
      <c r="F73" s="21"/>
      <c r="G73" s="10"/>
      <c r="H73" s="22">
        <v>50</v>
      </c>
      <c r="I73" s="12"/>
      <c r="J73" s="21"/>
      <c r="K73" s="10"/>
      <c r="L73" s="22"/>
      <c r="M73" s="12"/>
      <c r="N73" s="21"/>
      <c r="O73" s="10"/>
      <c r="P73" s="22"/>
      <c r="Q73" s="12"/>
      <c r="R73" s="21"/>
      <c r="S73" s="10"/>
      <c r="T73" s="22"/>
      <c r="U73" s="12"/>
      <c r="V73" s="21"/>
      <c r="W73" s="10"/>
      <c r="X73" s="23"/>
    </row>
    <row r="74" spans="1:24" ht="15.6">
      <c r="A74" s="8"/>
      <c r="B74" s="21"/>
      <c r="C74" s="10"/>
      <c r="D74" s="22"/>
      <c r="E74" s="12"/>
      <c r="F74" s="21"/>
      <c r="G74" s="10"/>
      <c r="H74" s="22"/>
      <c r="I74" s="12"/>
      <c r="J74" s="21"/>
      <c r="K74" s="10"/>
      <c r="L74" s="22"/>
      <c r="M74" s="12"/>
      <c r="N74" s="21"/>
      <c r="O74" s="10"/>
      <c r="P74" s="22"/>
      <c r="Q74" s="12"/>
      <c r="R74" s="21"/>
      <c r="S74" s="10"/>
      <c r="T74" s="22"/>
      <c r="U74" s="12"/>
      <c r="V74" s="21"/>
      <c r="W74" s="10"/>
      <c r="X74" s="23"/>
    </row>
    <row r="75" spans="1:24" ht="15.6">
      <c r="A75" s="8"/>
      <c r="B75" s="21"/>
      <c r="C75" s="10"/>
      <c r="D75" s="22"/>
      <c r="E75" s="12"/>
      <c r="F75" s="21"/>
      <c r="G75" s="10"/>
      <c r="H75" s="22"/>
      <c r="I75" s="12"/>
      <c r="J75" s="21"/>
      <c r="K75" s="10"/>
      <c r="L75" s="22"/>
      <c r="M75" s="12"/>
      <c r="N75" s="21"/>
      <c r="O75" s="10"/>
      <c r="P75" s="22"/>
      <c r="Q75" s="12"/>
      <c r="R75" s="21"/>
      <c r="S75" s="10"/>
      <c r="T75" s="22"/>
      <c r="U75" s="12"/>
      <c r="V75" s="21"/>
      <c r="W75" s="10"/>
      <c r="X75" s="23"/>
    </row>
    <row r="76" spans="1:24" ht="15.6">
      <c r="A76" s="8"/>
      <c r="B76" s="21"/>
      <c r="C76" s="10"/>
      <c r="D76" s="22"/>
      <c r="E76" s="12"/>
      <c r="F76" s="21"/>
      <c r="G76" s="10"/>
      <c r="H76" s="22"/>
      <c r="I76" s="12"/>
      <c r="J76" s="21"/>
      <c r="K76" s="10"/>
      <c r="L76" s="22"/>
      <c r="M76" s="12"/>
      <c r="N76" s="21"/>
      <c r="O76" s="10"/>
      <c r="P76" s="22"/>
      <c r="Q76" s="12"/>
      <c r="R76" s="21"/>
      <c r="S76" s="10"/>
      <c r="T76" s="22"/>
      <c r="U76" s="12"/>
      <c r="V76" s="21"/>
      <c r="W76" s="10"/>
      <c r="X76" s="23"/>
    </row>
    <row r="77" spans="1:24" ht="15.6">
      <c r="A77" s="8"/>
      <c r="B77" s="21"/>
      <c r="C77" s="10"/>
      <c r="D77" s="22"/>
      <c r="E77" s="12"/>
      <c r="F77" s="21"/>
      <c r="G77" s="10"/>
      <c r="H77" s="22"/>
      <c r="I77" s="12"/>
      <c r="J77" s="21"/>
      <c r="K77" s="10"/>
      <c r="L77" s="22"/>
      <c r="M77" s="12"/>
      <c r="N77" s="21"/>
      <c r="O77" s="10"/>
      <c r="P77" s="22"/>
      <c r="Q77" s="12"/>
      <c r="R77" s="21"/>
      <c r="S77" s="10"/>
      <c r="T77" s="22"/>
      <c r="U77" s="12"/>
      <c r="V77" s="21"/>
      <c r="W77" s="10"/>
      <c r="X77" s="23"/>
    </row>
    <row r="78" spans="1:24" ht="15.6">
      <c r="A78" s="8"/>
      <c r="B78" s="21"/>
      <c r="C78" s="10"/>
      <c r="D78" s="22"/>
      <c r="E78" s="12"/>
      <c r="F78" s="21"/>
      <c r="G78" s="10"/>
      <c r="H78" s="22"/>
      <c r="I78" s="12"/>
      <c r="J78" s="21"/>
      <c r="K78" s="10"/>
      <c r="L78" s="22"/>
      <c r="M78" s="12"/>
      <c r="N78" s="21"/>
      <c r="O78" s="10"/>
      <c r="P78" s="22"/>
      <c r="Q78" s="12"/>
      <c r="R78" s="21"/>
      <c r="S78" s="10"/>
      <c r="T78" s="22"/>
      <c r="U78" s="12"/>
      <c r="V78" s="21"/>
      <c r="W78" s="10"/>
      <c r="X78" s="23"/>
    </row>
    <row r="79" spans="1:24" ht="15.6">
      <c r="A79" s="8"/>
      <c r="B79" s="21"/>
      <c r="C79" s="10"/>
      <c r="D79" s="22"/>
      <c r="E79" s="12"/>
      <c r="F79" s="21"/>
      <c r="G79" s="10"/>
      <c r="H79" s="22"/>
      <c r="I79" s="12"/>
      <c r="J79" s="21"/>
      <c r="K79" s="10"/>
      <c r="L79" s="22"/>
      <c r="M79" s="12"/>
      <c r="N79" s="21"/>
      <c r="O79" s="10"/>
      <c r="P79" s="22"/>
      <c r="Q79" s="12"/>
      <c r="R79" s="21"/>
      <c r="S79" s="10"/>
      <c r="T79" s="22"/>
      <c r="U79" s="12"/>
      <c r="V79" s="21"/>
      <c r="W79" s="10"/>
      <c r="X79" s="23"/>
    </row>
    <row r="80" spans="1:24" ht="15.6">
      <c r="A80" s="8"/>
      <c r="B80" s="21"/>
      <c r="C80" s="10"/>
      <c r="D80" s="22"/>
      <c r="E80" s="12"/>
      <c r="F80" s="21"/>
      <c r="G80" s="10"/>
      <c r="H80" s="22"/>
      <c r="I80" s="12"/>
      <c r="J80" s="21"/>
      <c r="K80" s="10"/>
      <c r="L80" s="22"/>
      <c r="M80" s="12"/>
      <c r="N80" s="21"/>
      <c r="O80" s="10"/>
      <c r="P80" s="22"/>
      <c r="Q80" s="12"/>
      <c r="R80" s="21"/>
      <c r="S80" s="10"/>
      <c r="T80" s="22"/>
      <c r="U80" s="12"/>
      <c r="V80" s="21"/>
      <c r="W80" s="10"/>
      <c r="X80" s="23"/>
    </row>
    <row r="81" spans="1:24" ht="15.6">
      <c r="A81" s="8"/>
      <c r="B81" s="21"/>
      <c r="C81" s="10"/>
      <c r="D81" s="22"/>
      <c r="E81" s="12"/>
      <c r="F81" s="21"/>
      <c r="G81" s="10"/>
      <c r="H81" s="22"/>
      <c r="I81" s="12"/>
      <c r="J81" s="21"/>
      <c r="K81" s="10"/>
      <c r="L81" s="22"/>
      <c r="M81" s="12"/>
      <c r="N81" s="21"/>
      <c r="O81" s="10"/>
      <c r="P81" s="22"/>
      <c r="Q81" s="12"/>
      <c r="R81" s="21"/>
      <c r="S81" s="10"/>
      <c r="T81" s="22"/>
      <c r="U81" s="12"/>
      <c r="V81" s="21"/>
      <c r="W81" s="10"/>
      <c r="X81" s="23"/>
    </row>
    <row r="82" spans="1:24" ht="15.6">
      <c r="A82" s="8"/>
      <c r="B82" s="21"/>
      <c r="C82" s="10"/>
      <c r="D82" s="22"/>
      <c r="E82" s="12"/>
      <c r="F82" s="21"/>
      <c r="G82" s="10"/>
      <c r="H82" s="22"/>
      <c r="I82" s="12"/>
      <c r="J82" s="21"/>
      <c r="K82" s="10"/>
      <c r="L82" s="22"/>
      <c r="M82" s="12"/>
      <c r="N82" s="21"/>
      <c r="O82" s="10"/>
      <c r="P82" s="22"/>
      <c r="Q82" s="12"/>
      <c r="R82" s="21"/>
      <c r="S82" s="10"/>
      <c r="T82" s="22"/>
      <c r="U82" s="12"/>
      <c r="V82" s="21"/>
      <c r="W82" s="10"/>
      <c r="X82" s="23"/>
    </row>
    <row r="83" spans="1:24" ht="15.6">
      <c r="A83" s="8"/>
      <c r="B83" s="21"/>
      <c r="C83" s="10"/>
      <c r="D83" s="22"/>
      <c r="E83" s="12"/>
      <c r="F83" s="21"/>
      <c r="G83" s="10"/>
      <c r="H83" s="22"/>
      <c r="I83" s="12"/>
      <c r="J83" s="21"/>
      <c r="K83" s="10"/>
      <c r="L83" s="22"/>
      <c r="M83" s="12"/>
      <c r="N83" s="21"/>
      <c r="O83" s="10"/>
      <c r="P83" s="22"/>
      <c r="Q83" s="12"/>
      <c r="R83" s="21"/>
      <c r="S83" s="10"/>
      <c r="T83" s="22"/>
      <c r="U83" s="12"/>
      <c r="V83" s="21"/>
      <c r="W83" s="10"/>
      <c r="X83" s="23"/>
    </row>
    <row r="84" spans="1:24" ht="15.6">
      <c r="A84" s="8"/>
      <c r="B84" s="21"/>
      <c r="C84" s="10"/>
      <c r="D84" s="22"/>
      <c r="E84" s="12"/>
      <c r="F84" s="21"/>
      <c r="G84" s="10"/>
      <c r="H84" s="22"/>
      <c r="I84" s="12"/>
      <c r="J84" s="21"/>
      <c r="K84" s="10"/>
      <c r="L84" s="22"/>
      <c r="M84" s="12"/>
      <c r="N84" s="21"/>
      <c r="O84" s="10"/>
      <c r="P84" s="22"/>
      <c r="Q84" s="12"/>
      <c r="R84" s="21"/>
      <c r="S84" s="10"/>
      <c r="T84" s="22"/>
      <c r="U84" s="12"/>
      <c r="V84" s="21"/>
      <c r="W84" s="10"/>
      <c r="X84" s="23"/>
    </row>
    <row r="85" spans="1:24" ht="15.6">
      <c r="A85" s="8"/>
      <c r="B85" s="21"/>
      <c r="C85" s="10"/>
      <c r="D85" s="22"/>
      <c r="E85" s="12"/>
      <c r="F85" s="21"/>
      <c r="G85" s="10"/>
      <c r="H85" s="22"/>
      <c r="I85" s="12"/>
      <c r="J85" s="21"/>
      <c r="K85" s="10"/>
      <c r="L85" s="22"/>
      <c r="M85" s="12"/>
      <c r="N85" s="21"/>
      <c r="O85" s="10"/>
      <c r="P85" s="22"/>
      <c r="Q85" s="12"/>
      <c r="R85" s="21"/>
      <c r="S85" s="10"/>
      <c r="T85" s="22"/>
      <c r="U85" s="12"/>
      <c r="V85" s="21"/>
      <c r="W85" s="10"/>
      <c r="X85" s="23"/>
    </row>
    <row r="86" spans="1:24" ht="15.6">
      <c r="A86" s="8"/>
      <c r="B86" s="21"/>
      <c r="C86" s="10"/>
      <c r="D86" s="22"/>
      <c r="E86" s="12"/>
      <c r="F86" s="21"/>
      <c r="G86" s="10"/>
      <c r="H86" s="22"/>
      <c r="I86" s="12"/>
      <c r="J86" s="21"/>
      <c r="K86" s="10"/>
      <c r="L86" s="22"/>
      <c r="M86" s="12"/>
      <c r="N86" s="21"/>
      <c r="O86" s="10"/>
      <c r="P86" s="22"/>
      <c r="Q86" s="12"/>
      <c r="R86" s="21"/>
      <c r="S86" s="10"/>
      <c r="T86" s="22"/>
      <c r="U86" s="12"/>
      <c r="V86" s="21"/>
      <c r="W86" s="10"/>
      <c r="X86" s="23"/>
    </row>
    <row r="87" spans="1:24" ht="15.6">
      <c r="A87" s="8"/>
      <c r="B87" s="21"/>
      <c r="C87" s="10"/>
      <c r="D87" s="22"/>
      <c r="E87" s="12"/>
      <c r="F87" s="21"/>
      <c r="G87" s="10"/>
      <c r="H87" s="22"/>
      <c r="I87" s="12"/>
      <c r="J87" s="21"/>
      <c r="K87" s="10"/>
      <c r="L87" s="22"/>
      <c r="M87" s="12"/>
      <c r="N87" s="21"/>
      <c r="O87" s="10"/>
      <c r="P87" s="22"/>
      <c r="Q87" s="12"/>
      <c r="R87" s="21"/>
      <c r="S87" s="10"/>
      <c r="T87" s="22"/>
      <c r="U87" s="12"/>
      <c r="V87" s="21"/>
      <c r="W87" s="10"/>
      <c r="X87" s="23"/>
    </row>
    <row r="88" spans="1:24" ht="15.6">
      <c r="A88" s="8"/>
      <c r="B88" s="21"/>
      <c r="C88" s="10"/>
      <c r="D88" s="22"/>
      <c r="E88" s="12"/>
      <c r="F88" s="21"/>
      <c r="G88" s="10"/>
      <c r="H88" s="22"/>
      <c r="I88" s="12"/>
      <c r="J88" s="21"/>
      <c r="K88" s="10"/>
      <c r="L88" s="22"/>
      <c r="M88" s="12"/>
      <c r="N88" s="21"/>
      <c r="O88" s="10"/>
      <c r="P88" s="22"/>
      <c r="Q88" s="12"/>
      <c r="R88" s="21"/>
      <c r="S88" s="10"/>
      <c r="T88" s="22"/>
      <c r="U88" s="12"/>
      <c r="V88" s="21"/>
      <c r="W88" s="10"/>
      <c r="X88" s="23"/>
    </row>
    <row r="89" spans="1:24" ht="15.6">
      <c r="A89" s="8"/>
      <c r="B89" s="21"/>
      <c r="C89" s="10"/>
      <c r="D89" s="22"/>
      <c r="E89" s="12"/>
      <c r="F89" s="21"/>
      <c r="G89" s="10"/>
      <c r="H89" s="22"/>
      <c r="I89" s="12"/>
      <c r="J89" s="21"/>
      <c r="K89" s="10"/>
      <c r="L89" s="22"/>
      <c r="M89" s="12"/>
      <c r="N89" s="21"/>
      <c r="O89" s="10"/>
      <c r="P89" s="22"/>
      <c r="Q89" s="12"/>
      <c r="R89" s="21"/>
      <c r="S89" s="10"/>
      <c r="T89" s="22"/>
      <c r="U89" s="12"/>
      <c r="V89" s="21"/>
      <c r="W89" s="10"/>
      <c r="X89" s="23"/>
    </row>
    <row r="90" spans="1:24" ht="15.6">
      <c r="A90" s="8"/>
      <c r="B90" s="21"/>
      <c r="C90" s="10"/>
      <c r="D90" s="22"/>
      <c r="E90" s="12"/>
      <c r="F90" s="21"/>
      <c r="G90" s="10"/>
      <c r="H90" s="22"/>
      <c r="I90" s="12"/>
      <c r="J90" s="21"/>
      <c r="K90" s="10"/>
      <c r="L90" s="22"/>
      <c r="M90" s="12"/>
      <c r="N90" s="21"/>
      <c r="O90" s="10"/>
      <c r="P90" s="22"/>
      <c r="Q90" s="12"/>
      <c r="R90" s="21"/>
      <c r="S90" s="10"/>
      <c r="T90" s="22"/>
      <c r="U90" s="12"/>
      <c r="V90" s="21"/>
      <c r="W90" s="10"/>
      <c r="X90" s="23"/>
    </row>
    <row r="91" spans="1:24" ht="15.6">
      <c r="A91" s="8"/>
      <c r="B91" s="21"/>
      <c r="C91" s="10"/>
      <c r="D91" s="22"/>
      <c r="E91" s="12"/>
      <c r="F91" s="21"/>
      <c r="G91" s="10"/>
      <c r="H91" s="22"/>
      <c r="I91" s="12"/>
      <c r="J91" s="21"/>
      <c r="K91" s="10"/>
      <c r="L91" s="22"/>
      <c r="M91" s="12"/>
      <c r="N91" s="21"/>
      <c r="O91" s="10"/>
      <c r="P91" s="22"/>
      <c r="Q91" s="12"/>
      <c r="R91" s="21"/>
      <c r="S91" s="10"/>
      <c r="T91" s="22"/>
      <c r="U91" s="12"/>
      <c r="V91" s="21"/>
      <c r="W91" s="10"/>
      <c r="X91" s="23"/>
    </row>
    <row r="92" spans="1:24" ht="15.6">
      <c r="A92" s="8"/>
      <c r="B92" s="21"/>
      <c r="C92" s="10"/>
      <c r="D92" s="22"/>
      <c r="E92" s="12"/>
      <c r="F92" s="21"/>
      <c r="G92" s="10"/>
      <c r="H92" s="22"/>
      <c r="I92" s="12"/>
      <c r="J92" s="21"/>
      <c r="K92" s="10"/>
      <c r="L92" s="22"/>
      <c r="M92" s="12"/>
      <c r="N92" s="21"/>
      <c r="O92" s="10"/>
      <c r="P92" s="22"/>
      <c r="Q92" s="12"/>
      <c r="R92" s="21"/>
      <c r="S92" s="10"/>
      <c r="T92" s="22"/>
      <c r="U92" s="12"/>
      <c r="V92" s="21"/>
      <c r="W92" s="10"/>
      <c r="X92" s="23"/>
    </row>
    <row r="93" spans="1:24" ht="15.6">
      <c r="A93" s="8"/>
      <c r="B93" s="21"/>
      <c r="C93" s="10"/>
      <c r="D93" s="22"/>
      <c r="E93" s="12"/>
      <c r="F93" s="21"/>
      <c r="G93" s="10"/>
      <c r="H93" s="22"/>
      <c r="I93" s="12"/>
      <c r="J93" s="21"/>
      <c r="K93" s="10"/>
      <c r="L93" s="22"/>
      <c r="M93" s="12"/>
      <c r="N93" s="21"/>
      <c r="O93" s="10"/>
      <c r="P93" s="22"/>
      <c r="Q93" s="12"/>
      <c r="R93" s="21"/>
      <c r="S93" s="10"/>
      <c r="T93" s="22"/>
      <c r="U93" s="12"/>
      <c r="V93" s="21"/>
      <c r="W93" s="10"/>
      <c r="X93" s="23"/>
    </row>
    <row r="94" spans="1:24" ht="15.6">
      <c r="A94" s="8"/>
      <c r="B94" s="21"/>
      <c r="C94" s="10"/>
      <c r="D94" s="22"/>
      <c r="E94" s="12"/>
      <c r="F94" s="21"/>
      <c r="G94" s="10"/>
      <c r="H94" s="22"/>
      <c r="I94" s="12"/>
      <c r="J94" s="21"/>
      <c r="K94" s="10"/>
      <c r="L94" s="22"/>
      <c r="M94" s="12"/>
      <c r="N94" s="21"/>
      <c r="O94" s="10"/>
      <c r="P94" s="22"/>
      <c r="Q94" s="12"/>
      <c r="R94" s="21"/>
      <c r="S94" s="10"/>
      <c r="T94" s="22"/>
      <c r="U94" s="12"/>
      <c r="V94" s="21"/>
      <c r="W94" s="10"/>
      <c r="X94" s="23"/>
    </row>
    <row r="95" spans="1:24" ht="15.6">
      <c r="A95" s="8"/>
      <c r="B95" s="21"/>
      <c r="C95" s="10"/>
      <c r="D95" s="22"/>
      <c r="E95" s="12"/>
      <c r="F95" s="21"/>
      <c r="G95" s="10"/>
      <c r="H95" s="22"/>
      <c r="I95" s="12"/>
      <c r="J95" s="21"/>
      <c r="K95" s="10"/>
      <c r="L95" s="22"/>
      <c r="M95" s="12"/>
      <c r="N95" s="21"/>
      <c r="O95" s="10"/>
      <c r="P95" s="22"/>
      <c r="Q95" s="12"/>
      <c r="R95" s="21"/>
      <c r="S95" s="10"/>
      <c r="T95" s="22"/>
      <c r="U95" s="12"/>
      <c r="V95" s="21"/>
      <c r="W95" s="10"/>
      <c r="X95" s="23"/>
    </row>
    <row r="96" spans="1:24" ht="15.6">
      <c r="A96" s="8"/>
      <c r="B96" s="21"/>
      <c r="C96" s="10"/>
      <c r="D96" s="22"/>
      <c r="E96" s="12"/>
      <c r="F96" s="21"/>
      <c r="G96" s="10"/>
      <c r="H96" s="22"/>
      <c r="I96" s="12"/>
      <c r="J96" s="21"/>
      <c r="K96" s="10"/>
      <c r="L96" s="22"/>
      <c r="M96" s="12"/>
      <c r="N96" s="21"/>
      <c r="O96" s="10"/>
      <c r="P96" s="22"/>
      <c r="Q96" s="12"/>
      <c r="R96" s="21"/>
      <c r="S96" s="10"/>
      <c r="T96" s="22"/>
      <c r="U96" s="12"/>
      <c r="V96" s="21"/>
      <c r="W96" s="10"/>
      <c r="X96" s="23"/>
    </row>
    <row r="97" spans="1:24" ht="15.6">
      <c r="A97" s="8"/>
      <c r="B97" s="21"/>
      <c r="C97" s="10"/>
      <c r="D97" s="22"/>
      <c r="E97" s="12"/>
      <c r="F97" s="21"/>
      <c r="G97" s="10"/>
      <c r="H97" s="22"/>
      <c r="I97" s="12"/>
      <c r="J97" s="21"/>
      <c r="K97" s="10"/>
      <c r="L97" s="22"/>
      <c r="M97" s="12"/>
      <c r="N97" s="21"/>
      <c r="O97" s="10"/>
      <c r="P97" s="22"/>
      <c r="Q97" s="12"/>
      <c r="R97" s="21"/>
      <c r="S97" s="10"/>
      <c r="T97" s="22"/>
      <c r="U97" s="12"/>
      <c r="V97" s="21"/>
      <c r="W97" s="10"/>
      <c r="X97" s="23"/>
    </row>
    <row r="98" spans="1:24" ht="15.6">
      <c r="A98" s="8"/>
      <c r="B98" s="21"/>
      <c r="C98" s="10"/>
      <c r="D98" s="22"/>
      <c r="E98" s="12"/>
      <c r="F98" s="21"/>
      <c r="G98" s="10"/>
      <c r="H98" s="22"/>
      <c r="I98" s="12"/>
      <c r="J98" s="21"/>
      <c r="K98" s="10"/>
      <c r="L98" s="22"/>
      <c r="M98" s="12"/>
      <c r="N98" s="21"/>
      <c r="O98" s="10"/>
      <c r="P98" s="22"/>
      <c r="Q98" s="12"/>
      <c r="R98" s="21"/>
      <c r="S98" s="10"/>
      <c r="T98" s="22"/>
      <c r="U98" s="12"/>
      <c r="V98" s="21"/>
      <c r="W98" s="10"/>
      <c r="X98" s="23"/>
    </row>
    <row r="99" spans="1:24" ht="15.6">
      <c r="A99" s="8"/>
      <c r="B99" s="21"/>
      <c r="C99" s="10"/>
      <c r="D99" s="22"/>
      <c r="E99" s="12"/>
      <c r="F99" s="21"/>
      <c r="G99" s="10"/>
      <c r="H99" s="22"/>
      <c r="I99" s="12"/>
      <c r="J99" s="21"/>
      <c r="K99" s="10"/>
      <c r="L99" s="22"/>
      <c r="M99" s="12"/>
      <c r="N99" s="21"/>
      <c r="O99" s="10"/>
      <c r="P99" s="22"/>
      <c r="Q99" s="12"/>
      <c r="R99" s="21"/>
      <c r="S99" s="10"/>
      <c r="T99" s="22"/>
      <c r="U99" s="12"/>
      <c r="V99" s="21"/>
      <c r="W99" s="10"/>
      <c r="X99" s="23"/>
    </row>
    <row r="100" spans="1:24" ht="15.6">
      <c r="A100" s="8"/>
      <c r="B100" s="21"/>
      <c r="C100" s="10"/>
      <c r="D100" s="22"/>
      <c r="E100" s="12"/>
      <c r="F100" s="21"/>
      <c r="G100" s="10"/>
      <c r="H100" s="22"/>
      <c r="I100" s="12"/>
      <c r="J100" s="21"/>
      <c r="K100" s="10"/>
      <c r="L100" s="22"/>
      <c r="M100" s="12"/>
      <c r="N100" s="21"/>
      <c r="O100" s="10"/>
      <c r="P100" s="22"/>
      <c r="Q100" s="12"/>
      <c r="R100" s="21"/>
      <c r="S100" s="10"/>
      <c r="T100" s="22"/>
      <c r="U100" s="12"/>
      <c r="V100" s="21"/>
      <c r="W100" s="10"/>
      <c r="X100" s="23"/>
    </row>
    <row r="101" spans="1:24" ht="15.6">
      <c r="A101" s="8"/>
      <c r="B101" s="21"/>
      <c r="C101" s="10"/>
      <c r="D101" s="22"/>
      <c r="E101" s="12"/>
      <c r="F101" s="21"/>
      <c r="G101" s="10"/>
      <c r="H101" s="22"/>
      <c r="I101" s="12"/>
      <c r="J101" s="21"/>
      <c r="K101" s="10"/>
      <c r="L101" s="22"/>
      <c r="M101" s="12"/>
      <c r="N101" s="21"/>
      <c r="O101" s="10"/>
      <c r="P101" s="22"/>
      <c r="Q101" s="12"/>
      <c r="R101" s="21"/>
      <c r="S101" s="10"/>
      <c r="T101" s="22"/>
      <c r="U101" s="12"/>
      <c r="V101" s="21"/>
      <c r="W101" s="10"/>
      <c r="X101" s="23"/>
    </row>
    <row r="102" spans="1:24" ht="15.6">
      <c r="A102" s="8"/>
      <c r="B102" s="21"/>
      <c r="C102" s="10"/>
      <c r="D102" s="22"/>
      <c r="E102" s="12"/>
      <c r="F102" s="21"/>
      <c r="G102" s="10"/>
      <c r="H102" s="22"/>
      <c r="I102" s="12"/>
      <c r="J102" s="21"/>
      <c r="K102" s="10"/>
      <c r="L102" s="22"/>
      <c r="M102" s="12"/>
      <c r="N102" s="21"/>
      <c r="O102" s="10"/>
      <c r="P102" s="22"/>
      <c r="Q102" s="12"/>
      <c r="R102" s="21"/>
      <c r="S102" s="10"/>
      <c r="T102" s="22"/>
      <c r="U102" s="12"/>
      <c r="V102" s="21"/>
      <c r="W102" s="10"/>
      <c r="X102" s="23"/>
    </row>
    <row r="103" spans="1:24" ht="15.6">
      <c r="A103" s="8"/>
      <c r="B103" s="21"/>
      <c r="C103" s="10"/>
      <c r="D103" s="22"/>
      <c r="E103" s="12"/>
      <c r="F103" s="21"/>
      <c r="G103" s="10"/>
      <c r="H103" s="22"/>
      <c r="I103" s="12"/>
      <c r="J103" s="21"/>
      <c r="K103" s="10"/>
      <c r="L103" s="22"/>
      <c r="M103" s="12"/>
      <c r="N103" s="21"/>
      <c r="O103" s="10"/>
      <c r="P103" s="22"/>
      <c r="Q103" s="12"/>
      <c r="R103" s="21"/>
      <c r="S103" s="10"/>
      <c r="T103" s="22"/>
      <c r="U103" s="12"/>
      <c r="V103" s="21"/>
      <c r="W103" s="10"/>
      <c r="X103" s="23"/>
    </row>
    <row r="104" spans="1:24" ht="15.6">
      <c r="A104" s="8"/>
      <c r="B104" s="21"/>
      <c r="C104" s="10"/>
      <c r="D104" s="22"/>
      <c r="E104" s="12"/>
      <c r="F104" s="21"/>
      <c r="G104" s="10"/>
      <c r="H104" s="22"/>
      <c r="I104" s="12"/>
      <c r="J104" s="21"/>
      <c r="K104" s="10"/>
      <c r="L104" s="22"/>
      <c r="M104" s="12"/>
      <c r="N104" s="21"/>
      <c r="O104" s="10"/>
      <c r="P104" s="22"/>
      <c r="Q104" s="12"/>
      <c r="R104" s="21"/>
      <c r="S104" s="10"/>
      <c r="T104" s="22"/>
      <c r="U104" s="12"/>
      <c r="V104" s="21"/>
      <c r="W104" s="10"/>
      <c r="X104" s="23"/>
    </row>
    <row r="105" spans="1:24" ht="15.6">
      <c r="A105" s="8"/>
      <c r="B105" s="21"/>
      <c r="C105" s="10"/>
      <c r="D105" s="22"/>
      <c r="E105" s="12"/>
      <c r="F105" s="21"/>
      <c r="G105" s="10"/>
      <c r="H105" s="22"/>
      <c r="I105" s="12"/>
      <c r="J105" s="21"/>
      <c r="K105" s="10"/>
      <c r="L105" s="22"/>
      <c r="M105" s="12"/>
      <c r="N105" s="21"/>
      <c r="O105" s="10"/>
      <c r="P105" s="22"/>
      <c r="Q105" s="12"/>
      <c r="R105" s="21"/>
      <c r="S105" s="10"/>
      <c r="T105" s="22"/>
      <c r="U105" s="12"/>
      <c r="V105" s="21"/>
      <c r="W105" s="10"/>
      <c r="X105" s="23"/>
    </row>
    <row r="106" spans="1:24" ht="15.6">
      <c r="A106" s="8"/>
      <c r="B106" s="21"/>
      <c r="C106" s="10"/>
      <c r="D106" s="22"/>
      <c r="E106" s="12"/>
      <c r="F106" s="21"/>
      <c r="G106" s="10"/>
      <c r="H106" s="22"/>
      <c r="I106" s="12"/>
      <c r="J106" s="21"/>
      <c r="K106" s="10"/>
      <c r="L106" s="22"/>
      <c r="M106" s="12"/>
      <c r="N106" s="21"/>
      <c r="O106" s="10"/>
      <c r="P106" s="22"/>
      <c r="Q106" s="12"/>
      <c r="R106" s="21"/>
      <c r="S106" s="10"/>
      <c r="T106" s="22"/>
      <c r="U106" s="12"/>
      <c r="V106" s="21"/>
      <c r="W106" s="10"/>
      <c r="X106" s="23"/>
    </row>
    <row r="107" spans="1:24" ht="15.6">
      <c r="A107" s="8"/>
      <c r="B107" s="21"/>
      <c r="C107" s="10"/>
      <c r="D107" s="22"/>
      <c r="E107" s="12"/>
      <c r="F107" s="21"/>
      <c r="G107" s="10"/>
      <c r="H107" s="22"/>
      <c r="I107" s="12"/>
      <c r="J107" s="21"/>
      <c r="K107" s="10"/>
      <c r="L107" s="22"/>
      <c r="M107" s="12"/>
      <c r="N107" s="21"/>
      <c r="O107" s="10"/>
      <c r="P107" s="22"/>
      <c r="Q107" s="12"/>
      <c r="R107" s="21"/>
      <c r="S107" s="10"/>
      <c r="T107" s="22"/>
      <c r="U107" s="12"/>
      <c r="V107" s="21"/>
      <c r="W107" s="10"/>
      <c r="X107" s="23"/>
    </row>
    <row r="108" spans="1:24" ht="15.6">
      <c r="A108" s="8"/>
      <c r="B108" s="21"/>
      <c r="C108" s="10"/>
      <c r="D108" s="22"/>
      <c r="E108" s="12"/>
      <c r="F108" s="21"/>
      <c r="G108" s="10"/>
      <c r="H108" s="22"/>
      <c r="I108" s="12"/>
      <c r="J108" s="21"/>
      <c r="K108" s="10"/>
      <c r="L108" s="22"/>
      <c r="M108" s="12"/>
      <c r="N108" s="21"/>
      <c r="O108" s="10"/>
      <c r="P108" s="22"/>
      <c r="Q108" s="12"/>
      <c r="R108" s="21"/>
      <c r="S108" s="10"/>
      <c r="T108" s="22"/>
      <c r="U108" s="12"/>
      <c r="V108" s="21"/>
      <c r="W108" s="10"/>
      <c r="X108" s="23"/>
    </row>
    <row r="109" spans="1:24" ht="15.6">
      <c r="A109" s="8"/>
      <c r="B109" s="21"/>
      <c r="C109" s="10"/>
      <c r="D109" s="22"/>
      <c r="E109" s="12"/>
      <c r="F109" s="21"/>
      <c r="G109" s="10"/>
      <c r="H109" s="22"/>
      <c r="I109" s="12"/>
      <c r="J109" s="21"/>
      <c r="K109" s="10"/>
      <c r="L109" s="22"/>
      <c r="M109" s="12"/>
      <c r="N109" s="21"/>
      <c r="O109" s="10"/>
      <c r="P109" s="22"/>
      <c r="Q109" s="12"/>
      <c r="R109" s="21"/>
      <c r="S109" s="10"/>
      <c r="T109" s="22"/>
      <c r="U109" s="12"/>
      <c r="V109" s="21"/>
      <c r="W109" s="10"/>
      <c r="X109" s="23"/>
    </row>
    <row r="110" spans="1:24" ht="15.6">
      <c r="A110" s="8"/>
      <c r="B110" s="21"/>
      <c r="C110" s="10"/>
      <c r="D110" s="22"/>
      <c r="E110" s="12"/>
      <c r="F110" s="21"/>
      <c r="G110" s="10"/>
      <c r="H110" s="22"/>
      <c r="I110" s="12"/>
      <c r="J110" s="21"/>
      <c r="K110" s="10"/>
      <c r="L110" s="22"/>
      <c r="M110" s="12"/>
      <c r="N110" s="21"/>
      <c r="O110" s="10"/>
      <c r="P110" s="22"/>
      <c r="Q110" s="12"/>
      <c r="R110" s="21"/>
      <c r="S110" s="10"/>
      <c r="T110" s="22"/>
      <c r="U110" s="12"/>
      <c r="V110" s="21"/>
      <c r="W110" s="10"/>
      <c r="X110" s="23"/>
    </row>
    <row r="111" spans="1:24" ht="15.6">
      <c r="A111" s="8"/>
      <c r="B111" s="21"/>
      <c r="C111" s="10"/>
      <c r="D111" s="22"/>
      <c r="E111" s="12"/>
      <c r="F111" s="21"/>
      <c r="G111" s="10"/>
      <c r="H111" s="22"/>
      <c r="I111" s="12"/>
      <c r="J111" s="21"/>
      <c r="K111" s="10"/>
      <c r="L111" s="22"/>
      <c r="M111" s="12"/>
      <c r="N111" s="21"/>
      <c r="O111" s="10"/>
      <c r="P111" s="22"/>
      <c r="Q111" s="12"/>
      <c r="R111" s="21"/>
      <c r="S111" s="10"/>
      <c r="T111" s="22"/>
      <c r="U111" s="12"/>
      <c r="V111" s="21"/>
      <c r="W111" s="10"/>
      <c r="X111" s="23"/>
    </row>
    <row r="112" spans="1:24" ht="15.6">
      <c r="A112" s="8"/>
      <c r="B112" s="21"/>
      <c r="C112" s="10"/>
      <c r="D112" s="22"/>
      <c r="E112" s="12"/>
      <c r="F112" s="21"/>
      <c r="G112" s="10"/>
      <c r="H112" s="22"/>
      <c r="I112" s="12"/>
      <c r="J112" s="21"/>
      <c r="K112" s="10"/>
      <c r="L112" s="22"/>
      <c r="M112" s="12"/>
      <c r="N112" s="21"/>
      <c r="O112" s="10"/>
      <c r="P112" s="22"/>
      <c r="Q112" s="12"/>
      <c r="R112" s="21"/>
      <c r="S112" s="10"/>
      <c r="T112" s="22"/>
      <c r="U112" s="12"/>
      <c r="V112" s="21"/>
      <c r="W112" s="10"/>
      <c r="X112" s="23"/>
    </row>
    <row r="113" spans="1:24" ht="15.6">
      <c r="A113" s="8"/>
      <c r="B113" s="21"/>
      <c r="C113" s="10"/>
      <c r="D113" s="22"/>
      <c r="E113" s="12"/>
      <c r="F113" s="21"/>
      <c r="G113" s="10"/>
      <c r="H113" s="22"/>
      <c r="I113" s="12"/>
      <c r="J113" s="21"/>
      <c r="K113" s="10"/>
      <c r="L113" s="22"/>
      <c r="M113" s="12"/>
      <c r="N113" s="21"/>
      <c r="O113" s="10"/>
      <c r="P113" s="22"/>
      <c r="Q113" s="12"/>
      <c r="R113" s="21"/>
      <c r="S113" s="10"/>
      <c r="T113" s="22"/>
      <c r="U113" s="12"/>
      <c r="V113" s="21"/>
      <c r="W113" s="10"/>
      <c r="X113" s="23"/>
    </row>
    <row r="114" spans="1:24" ht="15.6">
      <c r="A114" s="8"/>
      <c r="B114" s="21"/>
      <c r="C114" s="10"/>
      <c r="D114" s="22"/>
      <c r="E114" s="12"/>
      <c r="F114" s="21"/>
      <c r="G114" s="10"/>
      <c r="H114" s="22"/>
      <c r="I114" s="12"/>
      <c r="J114" s="21"/>
      <c r="K114" s="10"/>
      <c r="L114" s="22"/>
      <c r="M114" s="12"/>
      <c r="N114" s="21"/>
      <c r="O114" s="10"/>
      <c r="P114" s="22"/>
      <c r="Q114" s="12"/>
      <c r="R114" s="21"/>
      <c r="S114" s="10"/>
      <c r="T114" s="22"/>
      <c r="U114" s="12"/>
      <c r="V114" s="21"/>
      <c r="W114" s="10"/>
      <c r="X114" s="23"/>
    </row>
    <row r="115" spans="1:24" ht="15.6">
      <c r="A115" s="8"/>
      <c r="B115" s="21"/>
      <c r="C115" s="10"/>
      <c r="D115" s="22"/>
      <c r="E115" s="12"/>
      <c r="F115" s="21"/>
      <c r="G115" s="10"/>
      <c r="H115" s="22"/>
      <c r="I115" s="12"/>
      <c r="J115" s="21"/>
      <c r="K115" s="10"/>
      <c r="L115" s="22"/>
      <c r="M115" s="12"/>
      <c r="N115" s="21"/>
      <c r="O115" s="10"/>
      <c r="P115" s="22"/>
      <c r="Q115" s="12"/>
      <c r="R115" s="21"/>
      <c r="S115" s="10"/>
      <c r="T115" s="22"/>
      <c r="U115" s="12"/>
      <c r="V115" s="21"/>
      <c r="W115" s="10"/>
      <c r="X115" s="23"/>
    </row>
    <row r="116" spans="1:24" ht="15.6">
      <c r="A116" s="8"/>
      <c r="B116" s="21"/>
      <c r="C116" s="10"/>
      <c r="D116" s="22"/>
      <c r="E116" s="12"/>
      <c r="F116" s="21"/>
      <c r="G116" s="10"/>
      <c r="H116" s="22"/>
      <c r="I116" s="12"/>
      <c r="J116" s="21"/>
      <c r="K116" s="10"/>
      <c r="L116" s="22"/>
      <c r="M116" s="12"/>
      <c r="N116" s="21"/>
      <c r="O116" s="10"/>
      <c r="P116" s="22"/>
      <c r="Q116" s="12"/>
      <c r="R116" s="21"/>
      <c r="S116" s="10"/>
      <c r="T116" s="22"/>
      <c r="U116" s="12"/>
      <c r="V116" s="21"/>
      <c r="W116" s="10"/>
      <c r="X116" s="23"/>
    </row>
    <row r="117" spans="1:24" ht="15.6">
      <c r="A117" s="8"/>
      <c r="B117" s="21"/>
      <c r="C117" s="10"/>
      <c r="D117" s="22"/>
      <c r="E117" s="12"/>
      <c r="F117" s="21"/>
      <c r="G117" s="10"/>
      <c r="H117" s="22"/>
      <c r="I117" s="12"/>
      <c r="J117" s="21"/>
      <c r="K117" s="10"/>
      <c r="L117" s="22"/>
      <c r="M117" s="12"/>
      <c r="N117" s="21"/>
      <c r="O117" s="10"/>
      <c r="P117" s="22"/>
      <c r="Q117" s="12"/>
      <c r="R117" s="21"/>
      <c r="S117" s="10"/>
      <c r="T117" s="22"/>
      <c r="U117" s="12"/>
      <c r="V117" s="21"/>
      <c r="W117" s="10"/>
      <c r="X117" s="23"/>
    </row>
    <row r="118" spans="1:24" ht="15.6">
      <c r="A118" s="8"/>
      <c r="B118" s="21"/>
      <c r="C118" s="10"/>
      <c r="D118" s="22"/>
      <c r="E118" s="12"/>
      <c r="F118" s="21"/>
      <c r="G118" s="10"/>
      <c r="H118" s="22"/>
      <c r="I118" s="12"/>
      <c r="J118" s="21"/>
      <c r="K118" s="10"/>
      <c r="L118" s="22"/>
      <c r="M118" s="12"/>
      <c r="N118" s="21"/>
      <c r="O118" s="10"/>
      <c r="P118" s="22"/>
      <c r="Q118" s="12"/>
      <c r="R118" s="21"/>
      <c r="S118" s="10"/>
      <c r="T118" s="22"/>
      <c r="U118" s="12"/>
      <c r="V118" s="21"/>
      <c r="W118" s="10"/>
      <c r="X118" s="23"/>
    </row>
    <row r="119" spans="1:24" ht="15.6">
      <c r="A119" s="8"/>
      <c r="B119" s="21"/>
      <c r="C119" s="10"/>
      <c r="D119" s="22"/>
      <c r="E119" s="12"/>
      <c r="F119" s="21"/>
      <c r="G119" s="10"/>
      <c r="H119" s="22"/>
      <c r="I119" s="12"/>
      <c r="J119" s="21"/>
      <c r="K119" s="10"/>
      <c r="L119" s="22"/>
      <c r="M119" s="12"/>
      <c r="N119" s="21"/>
      <c r="O119" s="10"/>
      <c r="P119" s="22"/>
      <c r="Q119" s="12"/>
      <c r="R119" s="21"/>
      <c r="S119" s="10"/>
      <c r="T119" s="22"/>
      <c r="U119" s="12"/>
      <c r="V119" s="21"/>
      <c r="W119" s="10"/>
      <c r="X119" s="23"/>
    </row>
    <row r="120" spans="1:24" ht="16.2" thickBot="1">
      <c r="A120" s="37" t="s">
        <v>17</v>
      </c>
      <c r="B120" s="76">
        <f>SUM(B$61:B$119)</f>
        <v>0</v>
      </c>
      <c r="C120" s="39" t="str">
        <f>A120</f>
        <v xml:space="preserve">Summe + </v>
      </c>
      <c r="D120" s="76">
        <f>SUM(D$61:D$119)</f>
        <v>0</v>
      </c>
      <c r="E120" s="40" t="s">
        <v>23</v>
      </c>
      <c r="F120" s="76">
        <f>SUM(F$61:F$119)</f>
        <v>0</v>
      </c>
      <c r="G120" s="39" t="str">
        <f>A120</f>
        <v xml:space="preserve">Summe + </v>
      </c>
      <c r="H120" s="76">
        <f>SUM(H$61:H$119)</f>
        <v>50</v>
      </c>
      <c r="I120" s="40" t="str">
        <f>A120</f>
        <v xml:space="preserve">Summe + </v>
      </c>
      <c r="J120" s="76">
        <f>SUM(J$61:J$119)</f>
        <v>0</v>
      </c>
      <c r="K120" s="42" t="str">
        <f>A120</f>
        <v xml:space="preserve">Summe + </v>
      </c>
      <c r="L120" s="76">
        <f>SUM(L$61:L$119)</f>
        <v>0</v>
      </c>
      <c r="M120" s="40" t="str">
        <f>A120</f>
        <v xml:space="preserve">Summe + </v>
      </c>
      <c r="N120" s="76">
        <f>SUM(N$61:N$119)</f>
        <v>0</v>
      </c>
      <c r="O120" s="39" t="str">
        <f>A120</f>
        <v xml:space="preserve">Summe + </v>
      </c>
      <c r="P120" s="76">
        <f>SUM(P$61:P$119)</f>
        <v>0</v>
      </c>
      <c r="Q120" s="40" t="str">
        <f>A120</f>
        <v xml:space="preserve">Summe + </v>
      </c>
      <c r="R120" s="76">
        <f>SUM(R$61:R$119)</f>
        <v>0</v>
      </c>
      <c r="S120" s="39" t="str">
        <f>A120</f>
        <v xml:space="preserve">Summe + </v>
      </c>
      <c r="T120" s="76">
        <f>SUM(T$61:T$119)</f>
        <v>0</v>
      </c>
      <c r="U120" s="40" t="str">
        <f>A120</f>
        <v xml:space="preserve">Summe + </v>
      </c>
      <c r="V120" s="76">
        <f>SUM(V$61:V$119)</f>
        <v>0</v>
      </c>
      <c r="W120" s="39" t="str">
        <f>A120</f>
        <v xml:space="preserve">Summe + </v>
      </c>
      <c r="X120" s="77">
        <f>SUM(X$61:X$119)</f>
        <v>0</v>
      </c>
    </row>
    <row r="121" spans="1:24" ht="16.2" thickBot="1">
      <c r="A121" s="45" t="s">
        <v>5</v>
      </c>
      <c r="B121" s="46">
        <f>B60+B120</f>
        <v>0</v>
      </c>
      <c r="C121" s="47" t="str">
        <f>A121</f>
        <v>Summe</v>
      </c>
      <c r="D121" s="48">
        <f>D60+D120</f>
        <v>0</v>
      </c>
      <c r="E121" s="49" t="str">
        <f>A121</f>
        <v>Summe</v>
      </c>
      <c r="F121" s="46">
        <f>F60+F120</f>
        <v>0</v>
      </c>
      <c r="G121" s="47" t="str">
        <f>A121</f>
        <v>Summe</v>
      </c>
      <c r="H121" s="48">
        <f>H60+H120</f>
        <v>50</v>
      </c>
      <c r="I121" s="49" t="str">
        <f>A121</f>
        <v>Summe</v>
      </c>
      <c r="J121" s="46">
        <f>J60+J120</f>
        <v>0</v>
      </c>
      <c r="K121" s="47" t="str">
        <f>A121</f>
        <v>Summe</v>
      </c>
      <c r="L121" s="48">
        <f>L60+L120</f>
        <v>0</v>
      </c>
      <c r="M121" s="49" t="str">
        <f>A121</f>
        <v>Summe</v>
      </c>
      <c r="N121" s="46">
        <f>N60+N120</f>
        <v>0</v>
      </c>
      <c r="O121" s="47" t="str">
        <f>A121</f>
        <v>Summe</v>
      </c>
      <c r="P121" s="48">
        <f>P60+P120</f>
        <v>0</v>
      </c>
      <c r="Q121" s="49" t="str">
        <f>A121</f>
        <v>Summe</v>
      </c>
      <c r="R121" s="46">
        <f>R60+R120</f>
        <v>0</v>
      </c>
      <c r="S121" s="47" t="str">
        <f>A121</f>
        <v>Summe</v>
      </c>
      <c r="T121" s="48">
        <f>T60+T120</f>
        <v>0</v>
      </c>
      <c r="U121" s="49" t="str">
        <f>A121</f>
        <v>Summe</v>
      </c>
      <c r="V121" s="46">
        <f>V60+V120</f>
        <v>0</v>
      </c>
      <c r="W121" s="47" t="str">
        <f>A121</f>
        <v>Summe</v>
      </c>
      <c r="X121" s="50">
        <f>X60+X120</f>
        <v>0</v>
      </c>
    </row>
    <row r="122" spans="1:24" ht="15" thickTop="1"/>
    <row r="128" spans="1:24" ht="15.6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</row>
    <row r="129" spans="1:11" ht="15.6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</row>
    <row r="130" spans="1:11" ht="15.6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</row>
    <row r="131" spans="1:11" ht="15.6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</row>
    <row r="132" spans="1:11" ht="15.6">
      <c r="F132" s="25" t="s">
        <v>7</v>
      </c>
      <c r="G132" s="26" t="s">
        <v>10</v>
      </c>
      <c r="H132" s="26" t="s">
        <v>9</v>
      </c>
      <c r="I132" s="26" t="s">
        <v>11</v>
      </c>
      <c r="J132" s="26" t="s">
        <v>12</v>
      </c>
      <c r="K132" s="24"/>
    </row>
    <row r="133" spans="1:11" ht="15.6">
      <c r="F133" s="1">
        <v>1</v>
      </c>
      <c r="G133" s="28">
        <f>$B$60</f>
        <v>0</v>
      </c>
      <c r="H133" s="28">
        <f>$B$120</f>
        <v>0</v>
      </c>
      <c r="I133" s="1">
        <f>H133+G133</f>
        <v>0</v>
      </c>
      <c r="J133" s="27">
        <f>AVERAGE(I138:I140)</f>
        <v>0</v>
      </c>
      <c r="K133" s="24"/>
    </row>
    <row r="134" spans="1:11" ht="15.6">
      <c r="F134" s="1">
        <v>2</v>
      </c>
      <c r="G134" s="28">
        <f>$D$60</f>
        <v>0</v>
      </c>
      <c r="H134" s="28">
        <f>$D$120</f>
        <v>0</v>
      </c>
      <c r="I134" s="1">
        <f t="shared" ref="I134:I144" si="0">H134+G134</f>
        <v>0</v>
      </c>
      <c r="J134" s="27">
        <f t="shared" ref="J134:J144" si="1">J133</f>
        <v>0</v>
      </c>
      <c r="K134" s="24"/>
    </row>
    <row r="135" spans="1:11" ht="15.6">
      <c r="F135" s="1">
        <v>3</v>
      </c>
      <c r="G135" s="28">
        <f>$F$60</f>
        <v>0</v>
      </c>
      <c r="H135" s="28">
        <f>$F$120</f>
        <v>0</v>
      </c>
      <c r="I135" s="1">
        <f t="shared" si="0"/>
        <v>0</v>
      </c>
      <c r="J135" s="27">
        <f t="shared" si="1"/>
        <v>0</v>
      </c>
      <c r="K135" s="24"/>
    </row>
    <row r="136" spans="1:11" ht="15.6">
      <c r="F136" s="1">
        <v>4</v>
      </c>
      <c r="G136" s="28">
        <f>$H$60</f>
        <v>0</v>
      </c>
      <c r="H136" s="28">
        <f>$H$120</f>
        <v>50</v>
      </c>
      <c r="I136" s="1">
        <f t="shared" si="0"/>
        <v>50</v>
      </c>
      <c r="J136" s="27">
        <f t="shared" si="1"/>
        <v>0</v>
      </c>
      <c r="K136" s="24"/>
    </row>
    <row r="137" spans="1:11" ht="15.6">
      <c r="F137" s="1">
        <v>5</v>
      </c>
      <c r="G137" s="28">
        <f>$J$60</f>
        <v>0</v>
      </c>
      <c r="H137" s="28">
        <f>$J$120</f>
        <v>0</v>
      </c>
      <c r="I137" s="1">
        <f t="shared" si="0"/>
        <v>0</v>
      </c>
      <c r="J137" s="27">
        <f t="shared" si="1"/>
        <v>0</v>
      </c>
      <c r="K137" s="24"/>
    </row>
    <row r="138" spans="1:11" ht="15.6">
      <c r="F138" s="1">
        <v>6</v>
      </c>
      <c r="G138" s="28">
        <f>$L$60</f>
        <v>0</v>
      </c>
      <c r="H138" s="28">
        <f>$L$120</f>
        <v>0</v>
      </c>
      <c r="I138" s="29">
        <f t="shared" si="0"/>
        <v>0</v>
      </c>
      <c r="J138" s="27">
        <f t="shared" si="1"/>
        <v>0</v>
      </c>
      <c r="K138" s="24"/>
    </row>
    <row r="139" spans="1:11" ht="15.6">
      <c r="F139" s="1">
        <v>7</v>
      </c>
      <c r="G139" s="28">
        <f>$N$60</f>
        <v>0</v>
      </c>
      <c r="H139" s="28">
        <f>$N$120</f>
        <v>0</v>
      </c>
      <c r="I139" s="30">
        <f t="shared" si="0"/>
        <v>0</v>
      </c>
      <c r="J139" s="27">
        <f t="shared" si="1"/>
        <v>0</v>
      </c>
      <c r="K139" s="24"/>
    </row>
    <row r="140" spans="1:11" ht="15.6">
      <c r="F140" s="1">
        <v>8</v>
      </c>
      <c r="G140" s="28">
        <f>$P$60</f>
        <v>0</v>
      </c>
      <c r="H140" s="28">
        <f>$P$120</f>
        <v>0</v>
      </c>
      <c r="I140" s="1">
        <f t="shared" si="0"/>
        <v>0</v>
      </c>
      <c r="J140" s="27">
        <f t="shared" si="1"/>
        <v>0</v>
      </c>
      <c r="K140" s="24"/>
    </row>
    <row r="141" spans="1:11" ht="15.6">
      <c r="F141" s="1">
        <v>9</v>
      </c>
      <c r="G141" s="28">
        <f>$R$60</f>
        <v>0</v>
      </c>
      <c r="H141" s="28">
        <f>$R$120</f>
        <v>0</v>
      </c>
      <c r="I141" s="1">
        <f t="shared" si="0"/>
        <v>0</v>
      </c>
      <c r="J141" s="27">
        <f t="shared" si="1"/>
        <v>0</v>
      </c>
      <c r="K141" s="24"/>
    </row>
    <row r="142" spans="1:11" ht="15.6">
      <c r="F142" s="1">
        <v>10</v>
      </c>
      <c r="G142" s="28">
        <f>$T$60</f>
        <v>0</v>
      </c>
      <c r="H142" s="28">
        <f>$T$120</f>
        <v>0</v>
      </c>
      <c r="I142" s="1">
        <f t="shared" si="0"/>
        <v>0</v>
      </c>
      <c r="J142" s="27">
        <f t="shared" si="1"/>
        <v>0</v>
      </c>
      <c r="K142" s="24"/>
    </row>
    <row r="143" spans="1:11" ht="15.6">
      <c r="F143" s="1">
        <v>11</v>
      </c>
      <c r="G143" s="28">
        <f>$V$60</f>
        <v>0</v>
      </c>
      <c r="H143" s="28">
        <f>$V$120</f>
        <v>0</v>
      </c>
      <c r="I143" s="1">
        <f t="shared" si="0"/>
        <v>0</v>
      </c>
      <c r="J143" s="27">
        <f t="shared" si="1"/>
        <v>0</v>
      </c>
      <c r="K143" s="24"/>
    </row>
    <row r="144" spans="1:11" ht="15.6">
      <c r="F144" s="1">
        <v>12</v>
      </c>
      <c r="G144" s="28">
        <f>$X$60</f>
        <v>0</v>
      </c>
      <c r="H144" s="28">
        <f>$X$120</f>
        <v>0</v>
      </c>
      <c r="I144" s="1">
        <f t="shared" si="0"/>
        <v>0</v>
      </c>
      <c r="J144" s="27">
        <f t="shared" si="1"/>
        <v>0</v>
      </c>
      <c r="K144" s="24"/>
    </row>
  </sheetData>
  <mergeCells count="14">
    <mergeCell ref="U10:V10"/>
    <mergeCell ref="W10:X10"/>
    <mergeCell ref="I10:J10"/>
    <mergeCell ref="K10:L10"/>
    <mergeCell ref="M10:N10"/>
    <mergeCell ref="O10:P10"/>
    <mergeCell ref="Q10:R10"/>
    <mergeCell ref="S10:T10"/>
    <mergeCell ref="G10:H10"/>
    <mergeCell ref="B2:C2"/>
    <mergeCell ref="B3:C3"/>
    <mergeCell ref="A10:B10"/>
    <mergeCell ref="C10:D10"/>
    <mergeCell ref="E10:F10"/>
  </mergeCells>
  <conditionalFormatting sqref="B2:B3">
    <cfRule type="cellIs" dxfId="143" priority="83" operator="lessThan">
      <formula>0</formula>
    </cfRule>
    <cfRule type="cellIs" dxfId="142" priority="84" operator="lessThan">
      <formula>0</formula>
    </cfRule>
  </conditionalFormatting>
  <conditionalFormatting sqref="B2:B3">
    <cfRule type="cellIs" dxfId="141" priority="82" operator="lessThan">
      <formula>0</formula>
    </cfRule>
  </conditionalFormatting>
  <conditionalFormatting sqref="B3">
    <cfRule type="cellIs" dxfId="140" priority="81" operator="greaterThan">
      <formula>0</formula>
    </cfRule>
  </conditionalFormatting>
  <conditionalFormatting sqref="B12:B119 D12:D119 F12:F119 H12:H119 J12:J119 L12:L119">
    <cfRule type="cellIs" dxfId="139" priority="43" operator="greaterThan">
      <formula>0</formula>
    </cfRule>
    <cfRule type="cellIs" dxfId="138" priority="44" operator="lessThan">
      <formula>0</formula>
    </cfRule>
  </conditionalFormatting>
  <conditionalFormatting sqref="B12:B119 D12:D119 F12:F119 H12:H119 J12:J119 L12:L119">
    <cfRule type="cellIs" dxfId="137" priority="42" operator="equal">
      <formula>0</formula>
    </cfRule>
  </conditionalFormatting>
  <conditionalFormatting sqref="F132:J144 K134:L144 K132:K133 A10:L131">
    <cfRule type="cellIs" dxfId="136" priority="40" operator="lessThan">
      <formula>0</formula>
    </cfRule>
    <cfRule type="cellIs" dxfId="135" priority="41" operator="lessThan">
      <formula>0</formula>
    </cfRule>
  </conditionalFormatting>
  <conditionalFormatting sqref="F132:J144 K134:L144 K132:K133 A10:L131">
    <cfRule type="cellIs" dxfId="134" priority="39" operator="lessThan">
      <formula>0</formula>
    </cfRule>
  </conditionalFormatting>
  <conditionalFormatting sqref="B12:B121 G133:J144 D12:D121 F12:F121 H12:H121 L12:L121 J12:J121">
    <cfRule type="cellIs" dxfId="133" priority="38" operator="greaterThan">
      <formula>0</formula>
    </cfRule>
  </conditionalFormatting>
  <conditionalFormatting sqref="N120">
    <cfRule type="cellIs" dxfId="132" priority="35" operator="greaterThan">
      <formula>0</formula>
    </cfRule>
    <cfRule type="cellIs" dxfId="131" priority="36" operator="greaterThan">
      <formula>1287.38</formula>
    </cfRule>
    <cfRule type="cellIs" dxfId="130" priority="37" operator="lessThan">
      <formula>0</formula>
    </cfRule>
  </conditionalFormatting>
  <conditionalFormatting sqref="P12:P119 R12:R119 T12:T119 V12:V119 X12:X119 N12:N119">
    <cfRule type="cellIs" dxfId="129" priority="33" operator="equal">
      <formula>0</formula>
    </cfRule>
    <cfRule type="cellIs" dxfId="128" priority="34" operator="greaterThan">
      <formula>0</formula>
    </cfRule>
  </conditionalFormatting>
  <conditionalFormatting sqref="M17:M21">
    <cfRule type="cellIs" dxfId="127" priority="32" operator="lessThan">
      <formula>0</formula>
    </cfRule>
  </conditionalFormatting>
  <conditionalFormatting sqref="M10:X121">
    <cfRule type="cellIs" dxfId="126" priority="30" operator="lessThan">
      <formula>0</formula>
    </cfRule>
    <cfRule type="cellIs" dxfId="125" priority="31" operator="lessThan">
      <formula>0</formula>
    </cfRule>
  </conditionalFormatting>
  <conditionalFormatting sqref="M10:X121">
    <cfRule type="cellIs" dxfId="124" priority="29" operator="lessThan">
      <formula>0</formula>
    </cfRule>
  </conditionalFormatting>
  <conditionalFormatting sqref="P12:P121 R12:R121 T12:T121 V12:V121 X12:X121 N12:N121">
    <cfRule type="cellIs" dxfId="123" priority="28" operator="greaterThan">
      <formula>0</formula>
    </cfRule>
  </conditionalFormatting>
  <conditionalFormatting sqref="G133:J144">
    <cfRule type="cellIs" dxfId="122" priority="27" operator="equal">
      <formula>0</formula>
    </cfRule>
  </conditionalFormatting>
  <conditionalFormatting sqref="B120 D120 F120 H120 L120 N120 P120 R120 T120 V120 X120">
    <cfRule type="cellIs" dxfId="121" priority="26" operator="equal">
      <formula>0</formula>
    </cfRule>
  </conditionalFormatting>
  <conditionalFormatting sqref="J120">
    <cfRule type="cellIs" dxfId="120" priority="25" operator="equal">
      <formula>0</formula>
    </cfRule>
  </conditionalFormatting>
  <conditionalFormatting sqref="N120">
    <cfRule type="cellIs" dxfId="119" priority="23" operator="lessThan">
      <formula>0</formula>
    </cfRule>
    <cfRule type="cellIs" dxfId="118" priority="24" operator="lessThan">
      <formula>0</formula>
    </cfRule>
  </conditionalFormatting>
  <conditionalFormatting sqref="N120">
    <cfRule type="cellIs" dxfId="117" priority="22" operator="lessThan">
      <formula>0</formula>
    </cfRule>
  </conditionalFormatting>
  <conditionalFormatting sqref="N120">
    <cfRule type="cellIs" dxfId="116" priority="21" operator="greaterThan">
      <formula>0</formula>
    </cfRule>
  </conditionalFormatting>
  <conditionalFormatting sqref="P120">
    <cfRule type="cellIs" dxfId="115" priority="19" operator="lessThan">
      <formula>0</formula>
    </cfRule>
    <cfRule type="cellIs" dxfId="114" priority="20" operator="lessThan">
      <formula>0</formula>
    </cfRule>
  </conditionalFormatting>
  <conditionalFormatting sqref="P120">
    <cfRule type="cellIs" dxfId="113" priority="18" operator="lessThan">
      <formula>0</formula>
    </cfRule>
  </conditionalFormatting>
  <conditionalFormatting sqref="P120">
    <cfRule type="cellIs" dxfId="112" priority="17" operator="greaterThan">
      <formula>0</formula>
    </cfRule>
  </conditionalFormatting>
  <conditionalFormatting sqref="R120">
    <cfRule type="cellIs" dxfId="111" priority="15" operator="lessThan">
      <formula>0</formula>
    </cfRule>
    <cfRule type="cellIs" dxfId="110" priority="16" operator="lessThan">
      <formula>0</formula>
    </cfRule>
  </conditionalFormatting>
  <conditionalFormatting sqref="R120">
    <cfRule type="cellIs" dxfId="109" priority="14" operator="lessThan">
      <formula>0</formula>
    </cfRule>
  </conditionalFormatting>
  <conditionalFormatting sqref="R120">
    <cfRule type="cellIs" dxfId="108" priority="13" operator="greaterThan">
      <formula>0</formula>
    </cfRule>
  </conditionalFormatting>
  <conditionalFormatting sqref="T120">
    <cfRule type="cellIs" dxfId="107" priority="11" operator="lessThan">
      <formula>0</formula>
    </cfRule>
    <cfRule type="cellIs" dxfId="106" priority="12" operator="lessThan">
      <formula>0</formula>
    </cfRule>
  </conditionalFormatting>
  <conditionalFormatting sqref="T120">
    <cfRule type="cellIs" dxfId="105" priority="10" operator="lessThan">
      <formula>0</formula>
    </cfRule>
  </conditionalFormatting>
  <conditionalFormatting sqref="T120">
    <cfRule type="cellIs" dxfId="104" priority="9" operator="greaterThan">
      <formula>0</formula>
    </cfRule>
  </conditionalFormatting>
  <conditionalFormatting sqref="V120">
    <cfRule type="cellIs" dxfId="103" priority="7" operator="lessThan">
      <formula>0</formula>
    </cfRule>
    <cfRule type="cellIs" dxfId="102" priority="8" operator="lessThan">
      <formula>0</formula>
    </cfRule>
  </conditionalFormatting>
  <conditionalFormatting sqref="V120">
    <cfRule type="cellIs" dxfId="101" priority="6" operator="lessThan">
      <formula>0</formula>
    </cfRule>
  </conditionalFormatting>
  <conditionalFormatting sqref="V120">
    <cfRule type="cellIs" dxfId="100" priority="5" operator="greaterThan">
      <formula>0</formula>
    </cfRule>
  </conditionalFormatting>
  <conditionalFormatting sqref="X120">
    <cfRule type="cellIs" dxfId="99" priority="3" operator="lessThan">
      <formula>0</formula>
    </cfRule>
    <cfRule type="cellIs" dxfId="98" priority="4" operator="lessThan">
      <formula>0</formula>
    </cfRule>
  </conditionalFormatting>
  <conditionalFormatting sqref="X120">
    <cfRule type="cellIs" dxfId="97" priority="2" operator="lessThan">
      <formula>0</formula>
    </cfRule>
  </conditionalFormatting>
  <conditionalFormatting sqref="X120">
    <cfRule type="cellIs" dxfId="96" priority="1" operator="greaterThan">
      <formula>0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alc_Sum">
                <anchor moveWithCells="1" sizeWithCells="1">
                  <from>
                    <xdr:col>5</xdr:col>
                    <xdr:colOff>228600</xdr:colOff>
                    <xdr:row>1</xdr:row>
                    <xdr:rowOff>30480</xdr:rowOff>
                  </from>
                  <to>
                    <xdr:col>8</xdr:col>
                    <xdr:colOff>381000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E269B-B65D-4104-B758-C60DE006AF90}">
  <sheetPr codeName="Tabelle6">
    <tabColor rgb="FF00B0F0"/>
  </sheetPr>
  <dimension ref="A1:X144"/>
  <sheetViews>
    <sheetView zoomScale="35" zoomScaleNormal="54" workbookViewId="0">
      <selection activeCell="N44" sqref="N44"/>
    </sheetView>
  </sheetViews>
  <sheetFormatPr baseColWidth="10" defaultRowHeight="14.4"/>
  <cols>
    <col min="1" max="1" width="11" bestFit="1" customWidth="1"/>
    <col min="2" max="2" width="17.77734375" bestFit="1" customWidth="1"/>
    <col min="3" max="3" width="11" bestFit="1" customWidth="1"/>
    <col min="4" max="4" width="17.77734375" bestFit="1" customWidth="1"/>
    <col min="5" max="5" width="10" bestFit="1" customWidth="1"/>
    <col min="6" max="6" width="17.77734375" bestFit="1" customWidth="1"/>
    <col min="7" max="7" width="12.88671875" bestFit="1" customWidth="1"/>
    <col min="8" max="8" width="17.77734375" bestFit="1" customWidth="1"/>
    <col min="9" max="9" width="11" bestFit="1" customWidth="1"/>
    <col min="10" max="10" width="17.77734375" bestFit="1" customWidth="1"/>
    <col min="11" max="11" width="11" bestFit="1" customWidth="1"/>
    <col min="12" max="12" width="17.77734375" bestFit="1" customWidth="1"/>
    <col min="13" max="13" width="11" bestFit="1" customWidth="1"/>
    <col min="14" max="14" width="17.77734375" bestFit="1" customWidth="1"/>
    <col min="15" max="15" width="11" bestFit="1" customWidth="1"/>
    <col min="16" max="16" width="17.77734375" bestFit="1" customWidth="1"/>
    <col min="17" max="17" width="11" bestFit="1" customWidth="1"/>
    <col min="18" max="18" width="17.77734375" bestFit="1" customWidth="1"/>
    <col min="19" max="19" width="11" bestFit="1" customWidth="1"/>
    <col min="20" max="20" width="17.77734375" bestFit="1" customWidth="1"/>
    <col min="21" max="21" width="11" bestFit="1" customWidth="1"/>
    <col min="22" max="22" width="17.77734375" bestFit="1" customWidth="1"/>
    <col min="23" max="23" width="11" bestFit="1" customWidth="1"/>
    <col min="24" max="24" width="17.77734375" bestFit="1" customWidth="1"/>
  </cols>
  <sheetData>
    <row r="1" spans="1:24" s="64" customFormat="1" ht="15" thickBot="1"/>
    <row r="2" spans="1:24" s="64" customFormat="1" ht="37.200000000000003" thickTop="1">
      <c r="B2" s="123" t="s">
        <v>15</v>
      </c>
      <c r="C2" s="124"/>
    </row>
    <row r="3" spans="1:24" s="64" customFormat="1" ht="37.200000000000003" thickBot="1">
      <c r="B3" s="125">
        <v>0</v>
      </c>
      <c r="C3" s="126"/>
    </row>
    <row r="4" spans="1:24" s="64" customFormat="1" ht="15" thickTop="1"/>
    <row r="5" spans="1:24" s="64" customFormat="1"/>
    <row r="6" spans="1:24" s="65" customFormat="1" ht="15" thickBot="1">
      <c r="J6" s="65" t="s">
        <v>23</v>
      </c>
    </row>
    <row r="7" spans="1:24" ht="15" thickTop="1"/>
    <row r="9" spans="1:24" ht="15" thickBot="1"/>
    <row r="10" spans="1:24" ht="27" thickTop="1" thickBot="1">
      <c r="A10" s="102">
        <v>1</v>
      </c>
      <c r="B10" s="103"/>
      <c r="C10" s="100">
        <v>2</v>
      </c>
      <c r="D10" s="101"/>
      <c r="E10" s="94">
        <v>3</v>
      </c>
      <c r="F10" s="94"/>
      <c r="G10" s="100">
        <v>4</v>
      </c>
      <c r="H10" s="101"/>
      <c r="I10" s="94">
        <v>5</v>
      </c>
      <c r="J10" s="94"/>
      <c r="K10" s="100">
        <v>6</v>
      </c>
      <c r="L10" s="101"/>
      <c r="M10" s="94">
        <v>7</v>
      </c>
      <c r="N10" s="94"/>
      <c r="O10" s="100">
        <v>8</v>
      </c>
      <c r="P10" s="101"/>
      <c r="Q10" s="94">
        <v>9</v>
      </c>
      <c r="R10" s="94"/>
      <c r="S10" s="100">
        <v>10</v>
      </c>
      <c r="T10" s="101"/>
      <c r="U10" s="94">
        <v>11</v>
      </c>
      <c r="V10" s="94"/>
      <c r="W10" s="94">
        <v>12</v>
      </c>
      <c r="X10" s="95"/>
    </row>
    <row r="11" spans="1:24" ht="16.8" thickTop="1" thickBot="1">
      <c r="A11" s="2" t="s">
        <v>1</v>
      </c>
      <c r="B11" s="3" t="s">
        <v>0</v>
      </c>
      <c r="C11" s="4" t="s">
        <v>1</v>
      </c>
      <c r="D11" s="5" t="s">
        <v>0</v>
      </c>
      <c r="E11" s="6" t="s">
        <v>1</v>
      </c>
      <c r="F11" s="3" t="s">
        <v>0</v>
      </c>
      <c r="G11" s="4" t="s">
        <v>1</v>
      </c>
      <c r="H11" s="5" t="s">
        <v>0</v>
      </c>
      <c r="I11" s="6" t="s">
        <v>1</v>
      </c>
      <c r="J11" s="3" t="s">
        <v>0</v>
      </c>
      <c r="K11" s="4" t="s">
        <v>1</v>
      </c>
      <c r="L11" s="5" t="s">
        <v>0</v>
      </c>
      <c r="M11" s="6" t="s">
        <v>1</v>
      </c>
      <c r="N11" s="3" t="s">
        <v>0</v>
      </c>
      <c r="O11" s="4" t="s">
        <v>1</v>
      </c>
      <c r="P11" s="5" t="s">
        <v>0</v>
      </c>
      <c r="Q11" s="6" t="s">
        <v>1</v>
      </c>
      <c r="R11" s="3" t="s">
        <v>0</v>
      </c>
      <c r="S11" s="4" t="s">
        <v>1</v>
      </c>
      <c r="T11" s="5" t="s">
        <v>0</v>
      </c>
      <c r="U11" s="6" t="s">
        <v>1</v>
      </c>
      <c r="V11" s="3" t="s">
        <v>0</v>
      </c>
      <c r="W11" s="4" t="s">
        <v>1</v>
      </c>
      <c r="X11" s="7" t="s">
        <v>0</v>
      </c>
    </row>
    <row r="12" spans="1:24" ht="15.6">
      <c r="A12" s="8"/>
      <c r="B12" s="9"/>
      <c r="C12" s="10"/>
      <c r="D12" s="11"/>
      <c r="E12" s="12"/>
      <c r="F12" s="9"/>
      <c r="G12" s="10"/>
      <c r="H12" s="11"/>
      <c r="I12" s="12"/>
      <c r="J12" s="9"/>
      <c r="K12" s="10"/>
      <c r="L12" s="11"/>
      <c r="M12" s="12"/>
      <c r="N12" s="9"/>
      <c r="O12" s="10"/>
      <c r="P12" s="11"/>
      <c r="Q12" s="12"/>
      <c r="R12" s="9"/>
      <c r="S12" s="10"/>
      <c r="T12" s="11"/>
      <c r="U12" s="12"/>
      <c r="V12" s="9"/>
      <c r="W12" s="10"/>
      <c r="X12" s="13"/>
    </row>
    <row r="13" spans="1:24" ht="15.6">
      <c r="A13" s="8"/>
      <c r="B13" s="9"/>
      <c r="C13" s="10"/>
      <c r="D13" s="11"/>
      <c r="E13" s="12"/>
      <c r="F13" s="9"/>
      <c r="G13" s="10"/>
      <c r="H13" s="11"/>
      <c r="I13" s="12"/>
      <c r="J13" s="9"/>
      <c r="K13" s="10"/>
      <c r="L13" s="11"/>
      <c r="M13" s="12"/>
      <c r="N13" s="9"/>
      <c r="O13" s="10"/>
      <c r="P13" s="11"/>
      <c r="Q13" s="12"/>
      <c r="R13" s="9"/>
      <c r="S13" s="10"/>
      <c r="T13" s="11"/>
      <c r="U13" s="12"/>
      <c r="V13" s="9"/>
      <c r="W13" s="10"/>
      <c r="X13" s="13"/>
    </row>
    <row r="14" spans="1:24" ht="15.6">
      <c r="A14" s="8"/>
      <c r="B14" s="9"/>
      <c r="C14" s="10"/>
      <c r="D14" s="14"/>
      <c r="E14" s="12"/>
      <c r="F14" s="15"/>
      <c r="G14" s="10"/>
      <c r="H14" s="14"/>
      <c r="I14" s="12"/>
      <c r="J14" s="15"/>
      <c r="K14" s="10"/>
      <c r="L14" s="11"/>
      <c r="M14" s="12"/>
      <c r="N14" s="15"/>
      <c r="O14" s="10"/>
      <c r="P14" s="14"/>
      <c r="Q14" s="12"/>
      <c r="R14" s="15"/>
      <c r="S14" s="10"/>
      <c r="T14" s="14"/>
      <c r="U14" s="12"/>
      <c r="V14" s="15"/>
      <c r="W14" s="10"/>
      <c r="X14" s="16"/>
    </row>
    <row r="15" spans="1:24" ht="15.6">
      <c r="A15" s="8"/>
      <c r="B15" s="9"/>
      <c r="C15" s="10"/>
      <c r="D15" s="11"/>
      <c r="E15" s="17"/>
      <c r="F15" s="9"/>
      <c r="G15" s="10"/>
      <c r="H15" s="11"/>
      <c r="I15" s="12"/>
      <c r="J15" s="9"/>
      <c r="K15" s="10"/>
      <c r="L15" s="11"/>
      <c r="M15" s="12"/>
      <c r="N15" s="9"/>
      <c r="O15" s="18"/>
      <c r="P15" s="11"/>
      <c r="Q15" s="12"/>
      <c r="R15" s="9"/>
      <c r="S15" s="10"/>
      <c r="T15" s="11"/>
      <c r="U15" s="12"/>
      <c r="V15" s="9"/>
      <c r="W15" s="10"/>
      <c r="X15" s="13"/>
    </row>
    <row r="16" spans="1:24" ht="15.6">
      <c r="A16" s="8"/>
      <c r="B16" s="9"/>
      <c r="C16" s="10"/>
      <c r="D16" s="11"/>
      <c r="E16" s="17"/>
      <c r="F16" s="9"/>
      <c r="G16" s="10"/>
      <c r="H16" s="11"/>
      <c r="I16" s="12"/>
      <c r="J16" s="9"/>
      <c r="K16" s="10"/>
      <c r="L16" s="11"/>
      <c r="M16" s="12"/>
      <c r="N16" s="9"/>
      <c r="O16" s="18"/>
      <c r="P16" s="11"/>
      <c r="Q16" s="12"/>
      <c r="R16" s="9"/>
      <c r="S16" s="10"/>
      <c r="T16" s="11"/>
      <c r="U16" s="12"/>
      <c r="V16" s="9"/>
      <c r="W16" s="10"/>
      <c r="X16" s="13"/>
    </row>
    <row r="17" spans="1:24" ht="15.6">
      <c r="A17" s="8"/>
      <c r="B17" s="9"/>
      <c r="C17" s="10"/>
      <c r="D17" s="11"/>
      <c r="E17" s="17"/>
      <c r="F17" s="9"/>
      <c r="G17" s="10"/>
      <c r="H17" s="11"/>
      <c r="I17" s="12"/>
      <c r="J17" s="9"/>
      <c r="K17" s="10"/>
      <c r="L17" s="11"/>
      <c r="M17" s="12"/>
      <c r="N17" s="9"/>
      <c r="O17" s="18"/>
      <c r="P17" s="11"/>
      <c r="Q17" s="12"/>
      <c r="R17" s="9"/>
      <c r="S17" s="10"/>
      <c r="T17" s="11"/>
      <c r="U17" s="12"/>
      <c r="V17" s="9"/>
      <c r="W17" s="10"/>
      <c r="X17" s="13"/>
    </row>
    <row r="18" spans="1:24" ht="15.6">
      <c r="A18" s="8"/>
      <c r="B18" s="9"/>
      <c r="C18" s="10"/>
      <c r="D18" s="11"/>
      <c r="E18" s="17"/>
      <c r="F18" s="9"/>
      <c r="G18" s="10"/>
      <c r="H18" s="11"/>
      <c r="I18" s="12"/>
      <c r="J18" s="9"/>
      <c r="K18" s="10"/>
      <c r="L18" s="11"/>
      <c r="M18" s="17"/>
      <c r="N18" s="9"/>
      <c r="O18" s="18"/>
      <c r="P18" s="11"/>
      <c r="Q18" s="12"/>
      <c r="R18" s="9"/>
      <c r="S18" s="10"/>
      <c r="T18" s="11"/>
      <c r="U18" s="12"/>
      <c r="V18" s="9"/>
      <c r="W18" s="10"/>
      <c r="X18" s="13"/>
    </row>
    <row r="19" spans="1:24" ht="15.6">
      <c r="A19" s="8"/>
      <c r="B19" s="9"/>
      <c r="C19" s="18"/>
      <c r="D19" s="11"/>
      <c r="E19" s="17"/>
      <c r="F19" s="9"/>
      <c r="G19" s="10"/>
      <c r="H19" s="11"/>
      <c r="I19" s="12"/>
      <c r="J19" s="9"/>
      <c r="K19" s="10"/>
      <c r="L19" s="11"/>
      <c r="M19" s="17"/>
      <c r="N19" s="9"/>
      <c r="O19" s="18"/>
      <c r="P19" s="11"/>
      <c r="Q19" s="12"/>
      <c r="R19" s="9"/>
      <c r="S19" s="10"/>
      <c r="T19" s="11"/>
      <c r="U19" s="12"/>
      <c r="V19" s="9"/>
      <c r="W19" s="10"/>
      <c r="X19" s="13"/>
    </row>
    <row r="20" spans="1:24" ht="15.6">
      <c r="A20" s="8"/>
      <c r="B20" s="9"/>
      <c r="C20" s="18"/>
      <c r="D20" s="11"/>
      <c r="E20" s="17"/>
      <c r="F20" s="19"/>
      <c r="G20" s="10"/>
      <c r="H20" s="11"/>
      <c r="I20" s="12"/>
      <c r="J20" s="9"/>
      <c r="K20" s="10"/>
      <c r="L20" s="11"/>
      <c r="M20" s="17"/>
      <c r="N20" s="9"/>
      <c r="O20" s="18"/>
      <c r="P20" s="11"/>
      <c r="Q20" s="12"/>
      <c r="R20" s="9"/>
      <c r="S20" s="10"/>
      <c r="T20" s="11"/>
      <c r="U20" s="12"/>
      <c r="V20" s="9"/>
      <c r="W20" s="10"/>
      <c r="X20" s="13"/>
    </row>
    <row r="21" spans="1:24" ht="15.6">
      <c r="A21" s="8"/>
      <c r="B21" s="9"/>
      <c r="C21" s="18"/>
      <c r="D21" s="20"/>
      <c r="E21" s="12"/>
      <c r="F21" s="9"/>
      <c r="G21" s="10"/>
      <c r="H21" s="11"/>
      <c r="I21" s="12"/>
      <c r="J21" s="9"/>
      <c r="K21" s="10"/>
      <c r="L21" s="11"/>
      <c r="M21" s="17"/>
      <c r="N21" s="9"/>
      <c r="O21" s="10"/>
      <c r="P21" s="11"/>
      <c r="Q21" s="12"/>
      <c r="R21" s="9"/>
      <c r="S21" s="10"/>
      <c r="T21" s="11"/>
      <c r="U21" s="12"/>
      <c r="V21" s="9"/>
      <c r="W21" s="10"/>
      <c r="X21" s="13"/>
    </row>
    <row r="22" spans="1:24" ht="15.6">
      <c r="A22" s="8"/>
      <c r="B22" s="9"/>
      <c r="C22" s="18"/>
      <c r="D22" s="11"/>
      <c r="E22" s="12"/>
      <c r="F22" s="9"/>
      <c r="G22" s="10"/>
      <c r="H22" s="11"/>
      <c r="I22" s="12"/>
      <c r="J22" s="9"/>
      <c r="K22" s="10"/>
      <c r="L22" s="11"/>
      <c r="M22" s="17"/>
      <c r="N22" s="9"/>
      <c r="O22" s="10"/>
      <c r="P22" s="11"/>
      <c r="Q22" s="12"/>
      <c r="R22" s="9"/>
      <c r="S22" s="10"/>
      <c r="T22" s="11"/>
      <c r="U22" s="12"/>
      <c r="V22" s="9"/>
      <c r="W22" s="10"/>
      <c r="X22" s="13"/>
    </row>
    <row r="23" spans="1:24" ht="15.6">
      <c r="A23" s="8"/>
      <c r="B23" s="9"/>
      <c r="C23" s="18"/>
      <c r="D23" s="11"/>
      <c r="E23" s="12"/>
      <c r="F23" s="9"/>
      <c r="G23" s="10"/>
      <c r="H23" s="11"/>
      <c r="I23" s="12"/>
      <c r="J23" s="9"/>
      <c r="K23" s="10"/>
      <c r="L23" s="11"/>
      <c r="M23" s="17"/>
      <c r="N23" s="9"/>
      <c r="O23" s="10"/>
      <c r="P23" s="11"/>
      <c r="Q23" s="12"/>
      <c r="R23" s="9"/>
      <c r="S23" s="10"/>
      <c r="T23" s="11"/>
      <c r="U23" s="12"/>
      <c r="V23" s="9"/>
      <c r="W23" s="10"/>
      <c r="X23" s="13"/>
    </row>
    <row r="24" spans="1:24" ht="15.6">
      <c r="A24" s="8"/>
      <c r="B24" s="9"/>
      <c r="C24" s="18"/>
      <c r="D24" s="11"/>
      <c r="E24" s="12"/>
      <c r="F24" s="9"/>
      <c r="G24" s="10"/>
      <c r="H24" s="11"/>
      <c r="I24" s="12"/>
      <c r="J24" s="9"/>
      <c r="K24" s="10"/>
      <c r="L24" s="11"/>
      <c r="M24" s="17"/>
      <c r="N24" s="9"/>
      <c r="O24" s="10"/>
      <c r="P24" s="11"/>
      <c r="Q24" s="12"/>
      <c r="R24" s="9"/>
      <c r="S24" s="10"/>
      <c r="T24" s="11"/>
      <c r="U24" s="12"/>
      <c r="V24" s="9"/>
      <c r="W24" s="10"/>
      <c r="X24" s="13"/>
    </row>
    <row r="25" spans="1:24" ht="15.6">
      <c r="A25" s="8"/>
      <c r="B25" s="9"/>
      <c r="C25" s="18"/>
      <c r="D25" s="11"/>
      <c r="E25" s="12"/>
      <c r="F25" s="9"/>
      <c r="G25" s="10"/>
      <c r="H25" s="11"/>
      <c r="I25" s="12"/>
      <c r="J25" s="9"/>
      <c r="K25" s="10"/>
      <c r="L25" s="11"/>
      <c r="M25" s="17"/>
      <c r="N25" s="9"/>
      <c r="O25" s="10"/>
      <c r="P25" s="11"/>
      <c r="Q25" s="12"/>
      <c r="R25" s="9"/>
      <c r="S25" s="10"/>
      <c r="T25" s="11"/>
      <c r="U25" s="12"/>
      <c r="V25" s="9"/>
      <c r="W25" s="10"/>
      <c r="X25" s="13"/>
    </row>
    <row r="26" spans="1:24" ht="15.6">
      <c r="A26" s="8"/>
      <c r="B26" s="9"/>
      <c r="C26" s="18"/>
      <c r="D26" s="11"/>
      <c r="E26" s="12"/>
      <c r="F26" s="9"/>
      <c r="G26" s="10"/>
      <c r="H26" s="11"/>
      <c r="I26" s="12"/>
      <c r="J26" s="9"/>
      <c r="K26" s="10"/>
      <c r="L26" s="11"/>
      <c r="M26" s="17"/>
      <c r="N26" s="9"/>
      <c r="O26" s="10"/>
      <c r="P26" s="11"/>
      <c r="Q26" s="12"/>
      <c r="R26" s="9"/>
      <c r="S26" s="10"/>
      <c r="T26" s="11"/>
      <c r="U26" s="12"/>
      <c r="V26" s="9"/>
      <c r="W26" s="10"/>
      <c r="X26" s="13"/>
    </row>
    <row r="27" spans="1:24" ht="15.6">
      <c r="A27" s="8"/>
      <c r="B27" s="9"/>
      <c r="C27" s="18"/>
      <c r="D27" s="11"/>
      <c r="E27" s="12"/>
      <c r="F27" s="9"/>
      <c r="G27" s="10"/>
      <c r="H27" s="11"/>
      <c r="I27" s="12"/>
      <c r="J27" s="9"/>
      <c r="K27" s="10"/>
      <c r="L27" s="11"/>
      <c r="M27" s="17"/>
      <c r="N27" s="9"/>
      <c r="O27" s="10"/>
      <c r="P27" s="11"/>
      <c r="Q27" s="12"/>
      <c r="R27" s="9"/>
      <c r="S27" s="10"/>
      <c r="T27" s="11"/>
      <c r="U27" s="12"/>
      <c r="V27" s="9"/>
      <c r="W27" s="10"/>
      <c r="X27" s="13"/>
    </row>
    <row r="28" spans="1:24" ht="15.6">
      <c r="A28" s="8"/>
      <c r="B28" s="9"/>
      <c r="C28" s="18"/>
      <c r="D28" s="11"/>
      <c r="E28" s="12"/>
      <c r="F28" s="9"/>
      <c r="G28" s="10"/>
      <c r="H28" s="11"/>
      <c r="I28" s="12"/>
      <c r="J28" s="9"/>
      <c r="K28" s="10"/>
      <c r="L28" s="11"/>
      <c r="M28" s="17"/>
      <c r="N28" s="9"/>
      <c r="O28" s="10"/>
      <c r="P28" s="11"/>
      <c r="Q28" s="12"/>
      <c r="R28" s="9"/>
      <c r="S28" s="10"/>
      <c r="T28" s="11"/>
      <c r="U28" s="12"/>
      <c r="V28" s="9"/>
      <c r="W28" s="10"/>
      <c r="X28" s="13"/>
    </row>
    <row r="29" spans="1:24" ht="15.6">
      <c r="A29" s="8"/>
      <c r="B29" s="9"/>
      <c r="C29" s="18"/>
      <c r="D29" s="11"/>
      <c r="E29" s="12"/>
      <c r="F29" s="9"/>
      <c r="G29" s="10"/>
      <c r="H29" s="11"/>
      <c r="I29" s="12"/>
      <c r="J29" s="9"/>
      <c r="K29" s="10"/>
      <c r="L29" s="11"/>
      <c r="M29" s="17"/>
      <c r="N29" s="9"/>
      <c r="O29" s="10"/>
      <c r="P29" s="11"/>
      <c r="Q29" s="12"/>
      <c r="R29" s="9"/>
      <c r="S29" s="10"/>
      <c r="T29" s="11"/>
      <c r="U29" s="12"/>
      <c r="V29" s="9"/>
      <c r="W29" s="10"/>
      <c r="X29" s="13"/>
    </row>
    <row r="30" spans="1:24" ht="15.6">
      <c r="A30" s="8"/>
      <c r="B30" s="9"/>
      <c r="C30" s="18"/>
      <c r="D30" s="11"/>
      <c r="E30" s="12"/>
      <c r="F30" s="9"/>
      <c r="G30" s="10"/>
      <c r="H30" s="11"/>
      <c r="I30" s="12"/>
      <c r="J30" s="9"/>
      <c r="K30" s="10"/>
      <c r="L30" s="11"/>
      <c r="M30" s="17"/>
      <c r="N30" s="9"/>
      <c r="O30" s="10"/>
      <c r="P30" s="11"/>
      <c r="Q30" s="12"/>
      <c r="R30" s="9"/>
      <c r="S30" s="10"/>
      <c r="T30" s="11"/>
      <c r="U30" s="12"/>
      <c r="V30" s="9"/>
      <c r="W30" s="10"/>
      <c r="X30" s="13"/>
    </row>
    <row r="31" spans="1:24" ht="15.6">
      <c r="A31" s="8"/>
      <c r="B31" s="9"/>
      <c r="C31" s="18"/>
      <c r="D31" s="11"/>
      <c r="E31" s="12"/>
      <c r="F31" s="9"/>
      <c r="G31" s="10"/>
      <c r="H31" s="11"/>
      <c r="I31" s="12"/>
      <c r="J31" s="9"/>
      <c r="K31" s="10"/>
      <c r="L31" s="11"/>
      <c r="M31" s="17"/>
      <c r="N31" s="9"/>
      <c r="O31" s="10"/>
      <c r="P31" s="11"/>
      <c r="Q31" s="12"/>
      <c r="R31" s="9"/>
      <c r="S31" s="10"/>
      <c r="T31" s="11"/>
      <c r="U31" s="12"/>
      <c r="V31" s="9"/>
      <c r="W31" s="10"/>
      <c r="X31" s="13"/>
    </row>
    <row r="32" spans="1:24" ht="15.6">
      <c r="A32" s="8"/>
      <c r="B32" s="9"/>
      <c r="C32" s="18"/>
      <c r="D32" s="11"/>
      <c r="E32" s="12"/>
      <c r="F32" s="9"/>
      <c r="G32" s="10"/>
      <c r="H32" s="11"/>
      <c r="I32" s="12"/>
      <c r="J32" s="9"/>
      <c r="K32" s="10"/>
      <c r="L32" s="11"/>
      <c r="M32" s="17"/>
      <c r="N32" s="9"/>
      <c r="O32" s="10"/>
      <c r="P32" s="11"/>
      <c r="Q32" s="12"/>
      <c r="R32" s="9"/>
      <c r="S32" s="10"/>
      <c r="T32" s="11"/>
      <c r="U32" s="12"/>
      <c r="V32" s="9"/>
      <c r="W32" s="10"/>
      <c r="X32" s="13"/>
    </row>
    <row r="33" spans="1:24" ht="15.6">
      <c r="A33" s="8"/>
      <c r="B33" s="9"/>
      <c r="C33" s="18"/>
      <c r="D33" s="11"/>
      <c r="E33" s="12"/>
      <c r="F33" s="9"/>
      <c r="G33" s="10"/>
      <c r="H33" s="11"/>
      <c r="I33" s="12"/>
      <c r="J33" s="9"/>
      <c r="K33" s="10"/>
      <c r="L33" s="11"/>
      <c r="M33" s="17"/>
      <c r="N33" s="9"/>
      <c r="O33" s="10"/>
      <c r="P33" s="11"/>
      <c r="Q33" s="12"/>
      <c r="R33" s="9"/>
      <c r="S33" s="10"/>
      <c r="T33" s="11"/>
      <c r="U33" s="12"/>
      <c r="V33" s="9"/>
      <c r="W33" s="10"/>
      <c r="X33" s="13"/>
    </row>
    <row r="34" spans="1:24" ht="15.6">
      <c r="A34" s="8"/>
      <c r="B34" s="9"/>
      <c r="C34" s="18"/>
      <c r="D34" s="11"/>
      <c r="E34" s="12"/>
      <c r="F34" s="9"/>
      <c r="G34" s="10"/>
      <c r="H34" s="11"/>
      <c r="I34" s="12"/>
      <c r="J34" s="9"/>
      <c r="K34" s="10"/>
      <c r="L34" s="11"/>
      <c r="M34" s="17"/>
      <c r="N34" s="9"/>
      <c r="O34" s="10"/>
      <c r="P34" s="11"/>
      <c r="Q34" s="12"/>
      <c r="R34" s="9"/>
      <c r="S34" s="10"/>
      <c r="T34" s="11"/>
      <c r="U34" s="12"/>
      <c r="V34" s="9"/>
      <c r="W34" s="10"/>
      <c r="X34" s="13"/>
    </row>
    <row r="35" spans="1:24" ht="15.6">
      <c r="A35" s="8"/>
      <c r="B35" s="9"/>
      <c r="C35" s="18"/>
      <c r="D35" s="11"/>
      <c r="E35" s="12"/>
      <c r="F35" s="9"/>
      <c r="G35" s="10"/>
      <c r="H35" s="11"/>
      <c r="I35" s="12"/>
      <c r="J35" s="9"/>
      <c r="K35" s="10"/>
      <c r="L35" s="11"/>
      <c r="M35" s="17"/>
      <c r="N35" s="9"/>
      <c r="O35" s="10"/>
      <c r="P35" s="11"/>
      <c r="Q35" s="12"/>
      <c r="R35" s="9"/>
      <c r="S35" s="10"/>
      <c r="T35" s="11"/>
      <c r="U35" s="12"/>
      <c r="V35" s="9"/>
      <c r="W35" s="10"/>
      <c r="X35" s="13"/>
    </row>
    <row r="36" spans="1:24" ht="15.6">
      <c r="A36" s="8"/>
      <c r="B36" s="9"/>
      <c r="C36" s="18"/>
      <c r="D36" s="11"/>
      <c r="E36" s="12"/>
      <c r="F36" s="9"/>
      <c r="G36" s="10"/>
      <c r="H36" s="11"/>
      <c r="I36" s="12"/>
      <c r="J36" s="9"/>
      <c r="K36" s="10"/>
      <c r="L36" s="11"/>
      <c r="M36" s="17"/>
      <c r="N36" s="9"/>
      <c r="O36" s="10"/>
      <c r="P36" s="11"/>
      <c r="Q36" s="12"/>
      <c r="R36" s="9"/>
      <c r="S36" s="10"/>
      <c r="T36" s="11"/>
      <c r="U36" s="12"/>
      <c r="V36" s="9"/>
      <c r="W36" s="10"/>
      <c r="X36" s="13"/>
    </row>
    <row r="37" spans="1:24" ht="15.6">
      <c r="A37" s="8"/>
      <c r="B37" s="9"/>
      <c r="C37" s="18"/>
      <c r="D37" s="11"/>
      <c r="E37" s="12"/>
      <c r="F37" s="9"/>
      <c r="G37" s="10"/>
      <c r="H37" s="11"/>
      <c r="I37" s="12"/>
      <c r="J37" s="9"/>
      <c r="K37" s="10"/>
      <c r="L37" s="11"/>
      <c r="M37" s="17"/>
      <c r="N37" s="9"/>
      <c r="O37" s="10"/>
      <c r="P37" s="11"/>
      <c r="Q37" s="12"/>
      <c r="R37" s="9"/>
      <c r="S37" s="10"/>
      <c r="T37" s="11"/>
      <c r="U37" s="12"/>
      <c r="V37" s="9"/>
      <c r="W37" s="10"/>
      <c r="X37" s="13"/>
    </row>
    <row r="38" spans="1:24" ht="15.6">
      <c r="A38" s="8"/>
      <c r="B38" s="9"/>
      <c r="C38" s="18"/>
      <c r="D38" s="11"/>
      <c r="E38" s="12"/>
      <c r="F38" s="9"/>
      <c r="G38" s="10"/>
      <c r="H38" s="11"/>
      <c r="I38" s="12"/>
      <c r="J38" s="9"/>
      <c r="K38" s="10"/>
      <c r="L38" s="11"/>
      <c r="M38" s="17"/>
      <c r="N38" s="9"/>
      <c r="O38" s="10"/>
      <c r="P38" s="11"/>
      <c r="Q38" s="12"/>
      <c r="R38" s="9"/>
      <c r="S38" s="10"/>
      <c r="T38" s="11"/>
      <c r="U38" s="12"/>
      <c r="V38" s="9"/>
      <c r="W38" s="10"/>
      <c r="X38" s="13"/>
    </row>
    <row r="39" spans="1:24" ht="15.6">
      <c r="A39" s="8"/>
      <c r="B39" s="9"/>
      <c r="C39" s="18"/>
      <c r="D39" s="11"/>
      <c r="E39" s="12"/>
      <c r="F39" s="9"/>
      <c r="G39" s="10"/>
      <c r="H39" s="11"/>
      <c r="I39" s="12"/>
      <c r="J39" s="9"/>
      <c r="K39" s="10"/>
      <c r="L39" s="11"/>
      <c r="M39" s="17"/>
      <c r="N39" s="9"/>
      <c r="O39" s="10"/>
      <c r="P39" s="11"/>
      <c r="Q39" s="12"/>
      <c r="R39" s="9"/>
      <c r="S39" s="10"/>
      <c r="T39" s="11"/>
      <c r="U39" s="12"/>
      <c r="V39" s="9"/>
      <c r="W39" s="10"/>
      <c r="X39" s="13"/>
    </row>
    <row r="40" spans="1:24" ht="15.6">
      <c r="A40" s="8"/>
      <c r="B40" s="9"/>
      <c r="C40" s="18"/>
      <c r="D40" s="11"/>
      <c r="E40" s="12"/>
      <c r="F40" s="9"/>
      <c r="G40" s="10"/>
      <c r="H40" s="11"/>
      <c r="I40" s="12"/>
      <c r="J40" s="9"/>
      <c r="K40" s="10"/>
      <c r="L40" s="11"/>
      <c r="M40" s="17"/>
      <c r="N40" s="9"/>
      <c r="O40" s="10"/>
      <c r="P40" s="11"/>
      <c r="Q40" s="12"/>
      <c r="R40" s="9"/>
      <c r="S40" s="10"/>
      <c r="T40" s="11"/>
      <c r="U40" s="12"/>
      <c r="V40" s="9"/>
      <c r="W40" s="10"/>
      <c r="X40" s="13"/>
    </row>
    <row r="41" spans="1:24" ht="15.6">
      <c r="A41" s="8"/>
      <c r="B41" s="9"/>
      <c r="C41" s="18"/>
      <c r="D41" s="11"/>
      <c r="E41" s="12"/>
      <c r="F41" s="9"/>
      <c r="G41" s="10"/>
      <c r="H41" s="11"/>
      <c r="I41" s="12"/>
      <c r="J41" s="9"/>
      <c r="K41" s="10"/>
      <c r="L41" s="11"/>
      <c r="M41" s="17"/>
      <c r="N41" s="9"/>
      <c r="O41" s="10"/>
      <c r="P41" s="11"/>
      <c r="Q41" s="12"/>
      <c r="R41" s="9"/>
      <c r="S41" s="10"/>
      <c r="T41" s="11"/>
      <c r="U41" s="12"/>
      <c r="V41" s="9"/>
      <c r="W41" s="10"/>
      <c r="X41" s="13"/>
    </row>
    <row r="42" spans="1:24" ht="15.6">
      <c r="A42" s="8"/>
      <c r="B42" s="9"/>
      <c r="C42" s="18"/>
      <c r="D42" s="11"/>
      <c r="E42" s="12"/>
      <c r="F42" s="9"/>
      <c r="G42" s="10"/>
      <c r="H42" s="11"/>
      <c r="I42" s="12"/>
      <c r="J42" s="9"/>
      <c r="K42" s="10"/>
      <c r="L42" s="11"/>
      <c r="M42" s="17"/>
      <c r="N42" s="9"/>
      <c r="O42" s="10"/>
      <c r="P42" s="11"/>
      <c r="Q42" s="12"/>
      <c r="R42" s="9"/>
      <c r="S42" s="10"/>
      <c r="T42" s="11"/>
      <c r="U42" s="12"/>
      <c r="V42" s="9"/>
      <c r="W42" s="10"/>
      <c r="X42" s="13"/>
    </row>
    <row r="43" spans="1:24" ht="15.6">
      <c r="A43" s="8"/>
      <c r="B43" s="9"/>
      <c r="C43" s="18"/>
      <c r="D43" s="11"/>
      <c r="E43" s="12"/>
      <c r="F43" s="9"/>
      <c r="G43" s="10"/>
      <c r="H43" s="11"/>
      <c r="I43" s="12"/>
      <c r="J43" s="9"/>
      <c r="K43" s="10"/>
      <c r="L43" s="11"/>
      <c r="M43" s="17"/>
      <c r="N43" s="9"/>
      <c r="O43" s="10"/>
      <c r="P43" s="11"/>
      <c r="Q43" s="12"/>
      <c r="R43" s="9"/>
      <c r="S43" s="10"/>
      <c r="T43" s="11"/>
      <c r="U43" s="12"/>
      <c r="V43" s="9"/>
      <c r="W43" s="10"/>
      <c r="X43" s="13"/>
    </row>
    <row r="44" spans="1:24" ht="15.6">
      <c r="A44" s="8"/>
      <c r="B44" s="9"/>
      <c r="C44" s="18"/>
      <c r="D44" s="11"/>
      <c r="E44" s="12"/>
      <c r="F44" s="9"/>
      <c r="G44" s="10"/>
      <c r="H44" s="11"/>
      <c r="I44" s="12"/>
      <c r="J44" s="9"/>
      <c r="K44" s="10"/>
      <c r="L44" s="11"/>
      <c r="M44" s="17"/>
      <c r="N44" s="9"/>
      <c r="O44" s="10"/>
      <c r="P44" s="11"/>
      <c r="Q44" s="12"/>
      <c r="R44" s="9"/>
      <c r="S44" s="10"/>
      <c r="T44" s="11"/>
      <c r="U44" s="12"/>
      <c r="V44" s="9"/>
      <c r="W44" s="10"/>
      <c r="X44" s="13"/>
    </row>
    <row r="45" spans="1:24" ht="15.6">
      <c r="A45" s="8"/>
      <c r="B45" s="9"/>
      <c r="C45" s="18"/>
      <c r="D45" s="11"/>
      <c r="E45" s="12"/>
      <c r="F45" s="9"/>
      <c r="G45" s="10"/>
      <c r="H45" s="11"/>
      <c r="I45" s="12"/>
      <c r="J45" s="9"/>
      <c r="K45" s="10"/>
      <c r="L45" s="11"/>
      <c r="M45" s="17"/>
      <c r="N45" s="9"/>
      <c r="O45" s="10"/>
      <c r="P45" s="11"/>
      <c r="Q45" s="12"/>
      <c r="R45" s="9"/>
      <c r="S45" s="10"/>
      <c r="T45" s="11"/>
      <c r="U45" s="12"/>
      <c r="V45" s="9"/>
      <c r="W45" s="10"/>
      <c r="X45" s="13"/>
    </row>
    <row r="46" spans="1:24" ht="15.6">
      <c r="A46" s="8"/>
      <c r="B46" s="9"/>
      <c r="C46" s="18"/>
      <c r="D46" s="11"/>
      <c r="E46" s="12"/>
      <c r="F46" s="9"/>
      <c r="G46" s="10"/>
      <c r="H46" s="11"/>
      <c r="I46" s="12"/>
      <c r="J46" s="9"/>
      <c r="K46" s="10"/>
      <c r="L46" s="11"/>
      <c r="M46" s="17"/>
      <c r="N46" s="9"/>
      <c r="O46" s="10"/>
      <c r="P46" s="11"/>
      <c r="Q46" s="12"/>
      <c r="R46" s="9"/>
      <c r="S46" s="10"/>
      <c r="T46" s="11"/>
      <c r="U46" s="12"/>
      <c r="V46" s="9"/>
      <c r="W46" s="10"/>
      <c r="X46" s="13"/>
    </row>
    <row r="47" spans="1:24" ht="15.6">
      <c r="A47" s="8"/>
      <c r="B47" s="9"/>
      <c r="C47" s="18"/>
      <c r="D47" s="11"/>
      <c r="E47" s="12"/>
      <c r="F47" s="9"/>
      <c r="G47" s="10"/>
      <c r="H47" s="11"/>
      <c r="I47" s="12"/>
      <c r="J47" s="9"/>
      <c r="K47" s="10"/>
      <c r="L47" s="11"/>
      <c r="M47" s="17"/>
      <c r="N47" s="9"/>
      <c r="O47" s="10"/>
      <c r="P47" s="11"/>
      <c r="Q47" s="12"/>
      <c r="R47" s="9"/>
      <c r="S47" s="10"/>
      <c r="T47" s="11"/>
      <c r="U47" s="12"/>
      <c r="V47" s="9"/>
      <c r="W47" s="10"/>
      <c r="X47" s="13"/>
    </row>
    <row r="48" spans="1:24" ht="15.6">
      <c r="A48" s="8"/>
      <c r="B48" s="9"/>
      <c r="C48" s="18"/>
      <c r="D48" s="11"/>
      <c r="E48" s="12"/>
      <c r="F48" s="9"/>
      <c r="G48" s="10"/>
      <c r="H48" s="11"/>
      <c r="I48" s="12"/>
      <c r="J48" s="9"/>
      <c r="K48" s="10"/>
      <c r="L48" s="11"/>
      <c r="M48" s="17"/>
      <c r="N48" s="9"/>
      <c r="O48" s="10"/>
      <c r="P48" s="11"/>
      <c r="Q48" s="12"/>
      <c r="R48" s="9"/>
      <c r="S48" s="10"/>
      <c r="T48" s="11"/>
      <c r="U48" s="12"/>
      <c r="V48" s="9"/>
      <c r="W48" s="10"/>
      <c r="X48" s="13"/>
    </row>
    <row r="49" spans="1:24" ht="15.6">
      <c r="A49" s="8"/>
      <c r="B49" s="9"/>
      <c r="C49" s="18"/>
      <c r="D49" s="11"/>
      <c r="E49" s="12"/>
      <c r="F49" s="9"/>
      <c r="G49" s="10"/>
      <c r="H49" s="11"/>
      <c r="I49" s="12"/>
      <c r="J49" s="9"/>
      <c r="K49" s="10"/>
      <c r="L49" s="11"/>
      <c r="M49" s="17"/>
      <c r="N49" s="9"/>
      <c r="O49" s="10"/>
      <c r="P49" s="11"/>
      <c r="Q49" s="12"/>
      <c r="R49" s="9"/>
      <c r="S49" s="10"/>
      <c r="T49" s="11"/>
      <c r="U49" s="12"/>
      <c r="V49" s="9"/>
      <c r="W49" s="10"/>
      <c r="X49" s="13"/>
    </row>
    <row r="50" spans="1:24" ht="15.6">
      <c r="A50" s="8"/>
      <c r="B50" s="9"/>
      <c r="C50" s="18"/>
      <c r="D50" s="11"/>
      <c r="E50" s="12"/>
      <c r="F50" s="9"/>
      <c r="G50" s="10"/>
      <c r="H50" s="11"/>
      <c r="I50" s="12"/>
      <c r="J50" s="9"/>
      <c r="K50" s="10"/>
      <c r="L50" s="11"/>
      <c r="M50" s="17"/>
      <c r="N50" s="9"/>
      <c r="O50" s="10"/>
      <c r="P50" s="11"/>
      <c r="Q50" s="12"/>
      <c r="R50" s="9"/>
      <c r="S50" s="10"/>
      <c r="T50" s="11"/>
      <c r="U50" s="12"/>
      <c r="V50" s="9"/>
      <c r="W50" s="10"/>
      <c r="X50" s="13"/>
    </row>
    <row r="51" spans="1:24" ht="15.6">
      <c r="A51" s="8"/>
      <c r="B51" s="9"/>
      <c r="C51" s="18"/>
      <c r="D51" s="11"/>
      <c r="E51" s="12"/>
      <c r="F51" s="9"/>
      <c r="G51" s="10"/>
      <c r="H51" s="11"/>
      <c r="I51" s="12"/>
      <c r="J51" s="9"/>
      <c r="K51" s="10"/>
      <c r="L51" s="11"/>
      <c r="M51" s="17"/>
      <c r="N51" s="9"/>
      <c r="O51" s="10"/>
      <c r="P51" s="11"/>
      <c r="Q51" s="12"/>
      <c r="R51" s="9"/>
      <c r="S51" s="10"/>
      <c r="T51" s="11"/>
      <c r="U51" s="12"/>
      <c r="V51" s="9"/>
      <c r="W51" s="10"/>
      <c r="X51" s="13"/>
    </row>
    <row r="52" spans="1:24" ht="15.6">
      <c r="A52" s="8"/>
      <c r="B52" s="9"/>
      <c r="C52" s="18"/>
      <c r="D52" s="11"/>
      <c r="E52" s="12"/>
      <c r="F52" s="9"/>
      <c r="G52" s="10"/>
      <c r="H52" s="11"/>
      <c r="I52" s="12"/>
      <c r="J52" s="9"/>
      <c r="K52" s="10"/>
      <c r="L52" s="11"/>
      <c r="M52" s="17"/>
      <c r="N52" s="9"/>
      <c r="O52" s="10"/>
      <c r="P52" s="11"/>
      <c r="Q52" s="12"/>
      <c r="R52" s="9"/>
      <c r="S52" s="10"/>
      <c r="T52" s="11"/>
      <c r="U52" s="12"/>
      <c r="V52" s="9"/>
      <c r="W52" s="10"/>
      <c r="X52" s="13"/>
    </row>
    <row r="53" spans="1:24" ht="15.6">
      <c r="A53" s="8"/>
      <c r="B53" s="9"/>
      <c r="C53" s="18"/>
      <c r="D53" s="11"/>
      <c r="E53" s="12"/>
      <c r="F53" s="9"/>
      <c r="G53" s="10"/>
      <c r="H53" s="11"/>
      <c r="I53" s="12"/>
      <c r="J53" s="9"/>
      <c r="K53" s="10"/>
      <c r="L53" s="11"/>
      <c r="M53" s="17"/>
      <c r="N53" s="9"/>
      <c r="O53" s="10"/>
      <c r="P53" s="11"/>
      <c r="Q53" s="12"/>
      <c r="R53" s="9"/>
      <c r="S53" s="10"/>
      <c r="T53" s="11"/>
      <c r="U53" s="12"/>
      <c r="V53" s="9"/>
      <c r="W53" s="10"/>
      <c r="X53" s="13"/>
    </row>
    <row r="54" spans="1:24" ht="15.6">
      <c r="A54" s="8"/>
      <c r="B54" s="9"/>
      <c r="C54" s="18"/>
      <c r="D54" s="11"/>
      <c r="E54" s="12"/>
      <c r="F54" s="9"/>
      <c r="G54" s="10"/>
      <c r="H54" s="11"/>
      <c r="I54" s="12"/>
      <c r="J54" s="9"/>
      <c r="K54" s="10"/>
      <c r="L54" s="11"/>
      <c r="M54" s="17"/>
      <c r="N54" s="9"/>
      <c r="O54" s="10"/>
      <c r="P54" s="11"/>
      <c r="Q54" s="12"/>
      <c r="R54" s="9"/>
      <c r="S54" s="10"/>
      <c r="T54" s="11"/>
      <c r="U54" s="12"/>
      <c r="V54" s="9"/>
      <c r="W54" s="10"/>
      <c r="X54" s="13"/>
    </row>
    <row r="55" spans="1:24" ht="15.6">
      <c r="A55" s="8"/>
      <c r="B55" s="9"/>
      <c r="C55" s="18"/>
      <c r="D55" s="11"/>
      <c r="E55" s="12"/>
      <c r="F55" s="9"/>
      <c r="G55" s="10"/>
      <c r="H55" s="11"/>
      <c r="I55" s="12"/>
      <c r="J55" s="9"/>
      <c r="K55" s="10"/>
      <c r="L55" s="11"/>
      <c r="M55" s="17"/>
      <c r="N55" s="9"/>
      <c r="O55" s="10"/>
      <c r="P55" s="11"/>
      <c r="Q55" s="12"/>
      <c r="R55" s="9"/>
      <c r="S55" s="10"/>
      <c r="T55" s="11"/>
      <c r="U55" s="12"/>
      <c r="V55" s="9"/>
      <c r="W55" s="10"/>
      <c r="X55" s="13"/>
    </row>
    <row r="56" spans="1:24" ht="15.6">
      <c r="A56" s="8"/>
      <c r="B56" s="9"/>
      <c r="C56" s="18"/>
      <c r="D56" s="11"/>
      <c r="E56" s="12"/>
      <c r="F56" s="9"/>
      <c r="G56" s="10"/>
      <c r="H56" s="11"/>
      <c r="I56" s="12"/>
      <c r="J56" s="9"/>
      <c r="K56" s="10"/>
      <c r="L56" s="11"/>
      <c r="M56" s="17"/>
      <c r="N56" s="9"/>
      <c r="O56" s="10"/>
      <c r="P56" s="11"/>
      <c r="Q56" s="12"/>
      <c r="R56" s="9"/>
      <c r="S56" s="10"/>
      <c r="T56" s="11"/>
      <c r="U56" s="12"/>
      <c r="V56" s="9"/>
      <c r="W56" s="10"/>
      <c r="X56" s="13"/>
    </row>
    <row r="57" spans="1:24" ht="15.6">
      <c r="A57" s="8"/>
      <c r="B57" s="9"/>
      <c r="C57" s="18"/>
      <c r="D57" s="11"/>
      <c r="E57" s="12"/>
      <c r="F57" s="9"/>
      <c r="G57" s="10"/>
      <c r="H57" s="11"/>
      <c r="I57" s="12"/>
      <c r="J57" s="9"/>
      <c r="K57" s="10"/>
      <c r="L57" s="11"/>
      <c r="M57" s="17"/>
      <c r="N57" s="9"/>
      <c r="O57" s="10"/>
      <c r="P57" s="11"/>
      <c r="Q57" s="12"/>
      <c r="R57" s="9"/>
      <c r="S57" s="10"/>
      <c r="T57" s="11"/>
      <c r="U57" s="12"/>
      <c r="V57" s="9"/>
      <c r="W57" s="10"/>
      <c r="X57" s="13"/>
    </row>
    <row r="58" spans="1:24" ht="15.6">
      <c r="A58" s="8"/>
      <c r="B58" s="9"/>
      <c r="C58" s="18"/>
      <c r="D58" s="11"/>
      <c r="E58" s="12"/>
      <c r="F58" s="9"/>
      <c r="G58" s="10"/>
      <c r="H58" s="11"/>
      <c r="I58" s="12"/>
      <c r="J58" s="9"/>
      <c r="K58" s="10"/>
      <c r="L58" s="11"/>
      <c r="M58" s="17"/>
      <c r="N58" s="9"/>
      <c r="O58" s="10"/>
      <c r="P58" s="11"/>
      <c r="Q58" s="12"/>
      <c r="R58" s="9"/>
      <c r="S58" s="10"/>
      <c r="T58" s="11"/>
      <c r="U58" s="12"/>
      <c r="V58" s="9"/>
      <c r="W58" s="10"/>
      <c r="X58" s="13"/>
    </row>
    <row r="59" spans="1:24" ht="15.6">
      <c r="A59" s="8"/>
      <c r="B59" s="9"/>
      <c r="C59" s="10"/>
      <c r="D59" s="11"/>
      <c r="E59" s="12"/>
      <c r="F59" s="9"/>
      <c r="G59" s="10"/>
      <c r="H59" s="11"/>
      <c r="I59" s="12"/>
      <c r="J59" s="9"/>
      <c r="K59" s="10"/>
      <c r="L59" s="11"/>
      <c r="M59" s="12"/>
      <c r="N59" s="9"/>
      <c r="O59" s="10"/>
      <c r="P59" s="11"/>
      <c r="Q59" s="12"/>
      <c r="R59" s="9"/>
      <c r="S59" s="10"/>
      <c r="T59" s="11"/>
      <c r="U59" s="12"/>
      <c r="V59" s="9"/>
      <c r="W59" s="10"/>
      <c r="X59" s="13"/>
    </row>
    <row r="60" spans="1:24" ht="16.2" thickBot="1">
      <c r="A60" s="31" t="s">
        <v>16</v>
      </c>
      <c r="B60" s="32">
        <f>SUM(B12:B59)</f>
        <v>0</v>
      </c>
      <c r="C60" s="33" t="str">
        <f>A60</f>
        <v>Summe -</v>
      </c>
      <c r="D60" s="34">
        <f>SUM(D12:D59)</f>
        <v>0</v>
      </c>
      <c r="E60" s="35" t="str">
        <f>A60</f>
        <v>Summe -</v>
      </c>
      <c r="F60" s="32">
        <f>SUM(F12:F59)</f>
        <v>0</v>
      </c>
      <c r="G60" s="33" t="str">
        <f>A60</f>
        <v>Summe -</v>
      </c>
      <c r="H60" s="34">
        <f>SUM(H12:H59)</f>
        <v>0</v>
      </c>
      <c r="I60" s="35" t="str">
        <f>A60</f>
        <v>Summe -</v>
      </c>
      <c r="J60" s="32">
        <f>SUM(J12:J59)</f>
        <v>0</v>
      </c>
      <c r="K60" s="33" t="str">
        <f>A60</f>
        <v>Summe -</v>
      </c>
      <c r="L60" s="34">
        <f>SUM(L12:L59)</f>
        <v>0</v>
      </c>
      <c r="M60" s="35" t="str">
        <f>A60</f>
        <v>Summe -</v>
      </c>
      <c r="N60" s="32">
        <f>SUM(N12:N59)</f>
        <v>0</v>
      </c>
      <c r="O60" s="33" t="str">
        <f>A60</f>
        <v>Summe -</v>
      </c>
      <c r="P60" s="34">
        <f>SUM(P12:P59)</f>
        <v>0</v>
      </c>
      <c r="Q60" s="35" t="str">
        <f>A60</f>
        <v>Summe -</v>
      </c>
      <c r="R60" s="32">
        <f>SUM(R12:R59)</f>
        <v>0</v>
      </c>
      <c r="S60" s="33" t="str">
        <f>A60</f>
        <v>Summe -</v>
      </c>
      <c r="T60" s="34">
        <f>SUM(T12:T59)</f>
        <v>0</v>
      </c>
      <c r="U60" s="35" t="str">
        <f>A60</f>
        <v>Summe -</v>
      </c>
      <c r="V60" s="32">
        <f>SUM(V12:V59)</f>
        <v>0</v>
      </c>
      <c r="W60" s="33" t="str">
        <f>A60</f>
        <v>Summe -</v>
      </c>
      <c r="X60" s="36">
        <f>SUM(X12:X59)</f>
        <v>0</v>
      </c>
    </row>
    <row r="61" spans="1:24" ht="15.6">
      <c r="A61" s="8"/>
      <c r="B61" s="21"/>
      <c r="C61" s="10"/>
      <c r="D61" s="22"/>
      <c r="E61" s="12"/>
      <c r="F61" s="21"/>
      <c r="G61" s="10"/>
      <c r="H61" s="22"/>
      <c r="I61" s="12"/>
      <c r="J61" s="21"/>
      <c r="K61" s="10"/>
      <c r="L61" s="22"/>
      <c r="M61" s="12"/>
      <c r="N61" s="21"/>
      <c r="O61" s="10"/>
      <c r="P61" s="22"/>
      <c r="Q61" s="12"/>
      <c r="R61" s="21"/>
      <c r="S61" s="10"/>
      <c r="T61" s="22"/>
      <c r="U61" s="12"/>
      <c r="V61" s="21"/>
      <c r="W61" s="10"/>
      <c r="X61" s="23"/>
    </row>
    <row r="62" spans="1:24" ht="15.6">
      <c r="A62" s="8"/>
      <c r="B62" s="21"/>
      <c r="C62" s="10"/>
      <c r="D62" s="22"/>
      <c r="E62" s="12"/>
      <c r="F62" s="21"/>
      <c r="G62" s="10"/>
      <c r="H62" s="22"/>
      <c r="I62" s="12"/>
      <c r="J62" s="21"/>
      <c r="K62" s="10"/>
      <c r="L62" s="22"/>
      <c r="M62" s="12"/>
      <c r="N62" s="21"/>
      <c r="O62" s="10"/>
      <c r="P62" s="22"/>
      <c r="Q62" s="12"/>
      <c r="R62" s="21"/>
      <c r="S62" s="10"/>
      <c r="T62" s="22"/>
      <c r="U62" s="12"/>
      <c r="V62" s="21"/>
      <c r="W62" s="10"/>
      <c r="X62" s="23"/>
    </row>
    <row r="63" spans="1:24" ht="15.6">
      <c r="A63" s="8"/>
      <c r="B63" s="21"/>
      <c r="C63" s="10"/>
      <c r="D63" s="22"/>
      <c r="E63" s="12"/>
      <c r="F63" s="21"/>
      <c r="G63" s="10"/>
      <c r="H63" s="22"/>
      <c r="I63" s="12"/>
      <c r="J63" s="21"/>
      <c r="K63" s="10"/>
      <c r="L63" s="22"/>
      <c r="M63" s="12"/>
      <c r="N63" s="21"/>
      <c r="O63" s="10"/>
      <c r="P63" s="22"/>
      <c r="Q63" s="12"/>
      <c r="R63" s="21"/>
      <c r="S63" s="10"/>
      <c r="T63" s="22"/>
      <c r="U63" s="12"/>
      <c r="V63" s="21"/>
      <c r="W63" s="10"/>
      <c r="X63" s="23"/>
    </row>
    <row r="64" spans="1:24" ht="15.6">
      <c r="A64" s="8"/>
      <c r="B64" s="21"/>
      <c r="C64" s="10"/>
      <c r="D64" s="22"/>
      <c r="E64" s="12"/>
      <c r="F64" s="21"/>
      <c r="G64" s="10"/>
      <c r="H64" s="22"/>
      <c r="I64" s="12"/>
      <c r="J64" s="21"/>
      <c r="K64" s="10"/>
      <c r="L64" s="22"/>
      <c r="M64" s="12"/>
      <c r="N64" s="21"/>
      <c r="O64" s="10"/>
      <c r="P64" s="22"/>
      <c r="Q64" s="12"/>
      <c r="R64" s="21"/>
      <c r="S64" s="10"/>
      <c r="T64" s="22"/>
      <c r="U64" s="12"/>
      <c r="V64" s="21"/>
      <c r="W64" s="10"/>
      <c r="X64" s="23"/>
    </row>
    <row r="65" spans="1:24" ht="15.6">
      <c r="A65" s="8"/>
      <c r="B65" s="21"/>
      <c r="C65" s="10"/>
      <c r="D65" s="22"/>
      <c r="E65" s="12"/>
      <c r="F65" s="21"/>
      <c r="G65" s="10"/>
      <c r="H65" s="22"/>
      <c r="I65" s="12"/>
      <c r="J65" s="21"/>
      <c r="K65" s="10"/>
      <c r="L65" s="22"/>
      <c r="M65" s="12"/>
      <c r="N65" s="21"/>
      <c r="O65" s="10"/>
      <c r="P65" s="22"/>
      <c r="Q65" s="12"/>
      <c r="R65" s="21"/>
      <c r="S65" s="10"/>
      <c r="T65" s="22"/>
      <c r="U65" s="12"/>
      <c r="V65" s="21"/>
      <c r="W65" s="10"/>
      <c r="X65" s="23"/>
    </row>
    <row r="66" spans="1:24" ht="15.6">
      <c r="A66" s="8"/>
      <c r="B66" s="21"/>
      <c r="C66" s="10"/>
      <c r="D66" s="22"/>
      <c r="E66" s="12"/>
      <c r="F66" s="21"/>
      <c r="G66" s="10"/>
      <c r="H66" s="22"/>
      <c r="I66" s="12"/>
      <c r="J66" s="21"/>
      <c r="K66" s="10"/>
      <c r="L66" s="22"/>
      <c r="M66" s="12"/>
      <c r="N66" s="21"/>
      <c r="O66" s="10"/>
      <c r="P66" s="22"/>
      <c r="Q66" s="12"/>
      <c r="R66" s="21"/>
      <c r="S66" s="10"/>
      <c r="T66" s="22"/>
      <c r="U66" s="12"/>
      <c r="V66" s="21"/>
      <c r="W66" s="10"/>
      <c r="X66" s="23"/>
    </row>
    <row r="67" spans="1:24" ht="15.6">
      <c r="A67" s="8"/>
      <c r="B67" s="21"/>
      <c r="C67" s="10"/>
      <c r="D67" s="22"/>
      <c r="E67" s="12"/>
      <c r="F67" s="21"/>
      <c r="G67" s="10"/>
      <c r="H67" s="22"/>
      <c r="I67" s="12"/>
      <c r="J67" s="21"/>
      <c r="K67" s="10"/>
      <c r="L67" s="22"/>
      <c r="M67" s="12"/>
      <c r="N67" s="21"/>
      <c r="O67" s="10"/>
      <c r="P67" s="22"/>
      <c r="Q67" s="12"/>
      <c r="R67" s="21"/>
      <c r="S67" s="10"/>
      <c r="T67" s="22"/>
      <c r="U67" s="12"/>
      <c r="V67" s="21"/>
      <c r="W67" s="10"/>
      <c r="X67" s="23"/>
    </row>
    <row r="68" spans="1:24" ht="15.6">
      <c r="A68" s="8"/>
      <c r="B68" s="21"/>
      <c r="C68" s="10"/>
      <c r="D68" s="22"/>
      <c r="E68" s="12"/>
      <c r="F68" s="21"/>
      <c r="G68" s="10"/>
      <c r="H68" s="22"/>
      <c r="I68" s="12"/>
      <c r="J68" s="21"/>
      <c r="K68" s="10"/>
      <c r="L68" s="22"/>
      <c r="M68" s="12"/>
      <c r="N68" s="21"/>
      <c r="O68" s="10"/>
      <c r="P68" s="22"/>
      <c r="Q68" s="12"/>
      <c r="R68" s="21"/>
      <c r="S68" s="10"/>
      <c r="T68" s="22"/>
      <c r="U68" s="12"/>
      <c r="V68" s="21"/>
      <c r="W68" s="10"/>
      <c r="X68" s="23"/>
    </row>
    <row r="69" spans="1:24" ht="15.6">
      <c r="A69" s="8"/>
      <c r="B69" s="21"/>
      <c r="C69" s="10"/>
      <c r="D69" s="22"/>
      <c r="E69" s="12"/>
      <c r="F69" s="21"/>
      <c r="G69" s="10"/>
      <c r="H69" s="22"/>
      <c r="I69" s="12"/>
      <c r="J69" s="21"/>
      <c r="K69" s="10"/>
      <c r="L69" s="22"/>
      <c r="M69" s="12"/>
      <c r="N69" s="21"/>
      <c r="O69" s="10"/>
      <c r="P69" s="22"/>
      <c r="Q69" s="12"/>
      <c r="R69" s="21"/>
      <c r="S69" s="10"/>
      <c r="T69" s="22"/>
      <c r="U69" s="12"/>
      <c r="V69" s="21"/>
      <c r="W69" s="10"/>
      <c r="X69" s="23"/>
    </row>
    <row r="70" spans="1:24" ht="15.6">
      <c r="A70" s="8"/>
      <c r="B70" s="21"/>
      <c r="C70" s="10"/>
      <c r="D70" s="22"/>
      <c r="E70" s="12"/>
      <c r="F70" s="21"/>
      <c r="G70" s="10"/>
      <c r="H70" s="22"/>
      <c r="I70" s="12"/>
      <c r="J70" s="21"/>
      <c r="K70" s="10"/>
      <c r="L70" s="22"/>
      <c r="M70" s="12"/>
      <c r="N70" s="21"/>
      <c r="O70" s="10"/>
      <c r="P70" s="22"/>
      <c r="Q70" s="12"/>
      <c r="R70" s="21"/>
      <c r="S70" s="10"/>
      <c r="T70" s="22"/>
      <c r="U70" s="12"/>
      <c r="V70" s="21"/>
      <c r="W70" s="10"/>
      <c r="X70" s="23"/>
    </row>
    <row r="71" spans="1:24" ht="15.6">
      <c r="A71" s="8"/>
      <c r="B71" s="21"/>
      <c r="C71" s="10"/>
      <c r="D71" s="22"/>
      <c r="E71" s="12"/>
      <c r="F71" s="21"/>
      <c r="G71" s="10"/>
      <c r="H71" s="22"/>
      <c r="I71" s="12"/>
      <c r="J71" s="21"/>
      <c r="K71" s="10"/>
      <c r="L71" s="22"/>
      <c r="M71" s="12"/>
      <c r="N71" s="21"/>
      <c r="O71" s="10"/>
      <c r="P71" s="22"/>
      <c r="Q71" s="12"/>
      <c r="R71" s="21"/>
      <c r="S71" s="10"/>
      <c r="T71" s="22"/>
      <c r="U71" s="12"/>
      <c r="V71" s="21"/>
      <c r="W71" s="10"/>
      <c r="X71" s="23"/>
    </row>
    <row r="72" spans="1:24" ht="15.6">
      <c r="A72" s="8"/>
      <c r="B72" s="21"/>
      <c r="C72" s="10"/>
      <c r="D72" s="22"/>
      <c r="E72" s="12"/>
      <c r="F72" s="21"/>
      <c r="G72" s="10"/>
      <c r="H72" s="22"/>
      <c r="I72" s="12"/>
      <c r="J72" s="21"/>
      <c r="K72" s="10"/>
      <c r="L72" s="22"/>
      <c r="M72" s="12"/>
      <c r="N72" s="21"/>
      <c r="O72" s="10"/>
      <c r="P72" s="22"/>
      <c r="Q72" s="12"/>
      <c r="R72" s="21"/>
      <c r="S72" s="10"/>
      <c r="T72" s="22"/>
      <c r="U72" s="12"/>
      <c r="V72" s="21"/>
      <c r="W72" s="10"/>
      <c r="X72" s="23"/>
    </row>
    <row r="73" spans="1:24" ht="15.6">
      <c r="A73" s="8"/>
      <c r="B73" s="21"/>
      <c r="C73" s="10"/>
      <c r="D73" s="22"/>
      <c r="E73" s="12"/>
      <c r="F73" s="21"/>
      <c r="G73" s="10"/>
      <c r="H73" s="22"/>
      <c r="I73" s="12"/>
      <c r="J73" s="21"/>
      <c r="K73" s="10"/>
      <c r="L73" s="22"/>
      <c r="M73" s="12"/>
      <c r="N73" s="21"/>
      <c r="O73" s="10"/>
      <c r="P73" s="22"/>
      <c r="Q73" s="12"/>
      <c r="R73" s="21"/>
      <c r="S73" s="10"/>
      <c r="T73" s="22"/>
      <c r="U73" s="12"/>
      <c r="V73" s="21"/>
      <c r="W73" s="10"/>
      <c r="X73" s="23"/>
    </row>
    <row r="74" spans="1:24" ht="15.6">
      <c r="A74" s="8"/>
      <c r="B74" s="21"/>
      <c r="C74" s="10"/>
      <c r="D74" s="22"/>
      <c r="E74" s="12"/>
      <c r="F74" s="21"/>
      <c r="G74" s="10"/>
      <c r="H74" s="22"/>
      <c r="I74" s="12"/>
      <c r="J74" s="21"/>
      <c r="K74" s="10"/>
      <c r="L74" s="22"/>
      <c r="M74" s="12"/>
      <c r="N74" s="21"/>
      <c r="O74" s="10"/>
      <c r="P74" s="22"/>
      <c r="Q74" s="12"/>
      <c r="R74" s="21"/>
      <c r="S74" s="10"/>
      <c r="T74" s="22"/>
      <c r="U74" s="12"/>
      <c r="V74" s="21"/>
      <c r="W74" s="10"/>
      <c r="X74" s="23"/>
    </row>
    <row r="75" spans="1:24" ht="15.6">
      <c r="A75" s="8"/>
      <c r="B75" s="21"/>
      <c r="C75" s="10"/>
      <c r="D75" s="22"/>
      <c r="E75" s="12"/>
      <c r="F75" s="21"/>
      <c r="G75" s="10"/>
      <c r="H75" s="22"/>
      <c r="I75" s="12"/>
      <c r="J75" s="21"/>
      <c r="K75" s="10"/>
      <c r="L75" s="22"/>
      <c r="M75" s="12"/>
      <c r="N75" s="21"/>
      <c r="O75" s="10"/>
      <c r="P75" s="22"/>
      <c r="Q75" s="12"/>
      <c r="R75" s="21"/>
      <c r="S75" s="10"/>
      <c r="T75" s="22"/>
      <c r="U75" s="12"/>
      <c r="V75" s="21"/>
      <c r="W75" s="10"/>
      <c r="X75" s="23"/>
    </row>
    <row r="76" spans="1:24" ht="15.6">
      <c r="A76" s="8"/>
      <c r="B76" s="21"/>
      <c r="C76" s="10"/>
      <c r="D76" s="22"/>
      <c r="E76" s="12"/>
      <c r="F76" s="21"/>
      <c r="G76" s="10"/>
      <c r="H76" s="22"/>
      <c r="I76" s="12"/>
      <c r="J76" s="21"/>
      <c r="K76" s="10"/>
      <c r="L76" s="22"/>
      <c r="M76" s="12"/>
      <c r="N76" s="21"/>
      <c r="O76" s="10"/>
      <c r="P76" s="22"/>
      <c r="Q76" s="12"/>
      <c r="R76" s="21"/>
      <c r="S76" s="10"/>
      <c r="T76" s="22"/>
      <c r="U76" s="12"/>
      <c r="V76" s="21"/>
      <c r="W76" s="10"/>
      <c r="X76" s="23"/>
    </row>
    <row r="77" spans="1:24" ht="15.6">
      <c r="A77" s="8"/>
      <c r="B77" s="21"/>
      <c r="C77" s="10"/>
      <c r="D77" s="22"/>
      <c r="E77" s="12"/>
      <c r="F77" s="21"/>
      <c r="G77" s="10"/>
      <c r="H77" s="22"/>
      <c r="I77" s="12"/>
      <c r="J77" s="21"/>
      <c r="K77" s="10"/>
      <c r="L77" s="22"/>
      <c r="M77" s="12"/>
      <c r="N77" s="21"/>
      <c r="O77" s="10"/>
      <c r="P77" s="22"/>
      <c r="Q77" s="12"/>
      <c r="R77" s="21"/>
      <c r="S77" s="10"/>
      <c r="T77" s="22"/>
      <c r="U77" s="12"/>
      <c r="V77" s="21"/>
      <c r="W77" s="10"/>
      <c r="X77" s="23"/>
    </row>
    <row r="78" spans="1:24" ht="15.6">
      <c r="A78" s="8"/>
      <c r="B78" s="21"/>
      <c r="C78" s="10"/>
      <c r="D78" s="22"/>
      <c r="E78" s="12"/>
      <c r="F78" s="21"/>
      <c r="G78" s="10"/>
      <c r="H78" s="22"/>
      <c r="I78" s="12"/>
      <c r="J78" s="21"/>
      <c r="K78" s="10"/>
      <c r="L78" s="22"/>
      <c r="M78" s="12"/>
      <c r="N78" s="21"/>
      <c r="O78" s="10"/>
      <c r="P78" s="22"/>
      <c r="Q78" s="12"/>
      <c r="R78" s="21"/>
      <c r="S78" s="10"/>
      <c r="T78" s="22"/>
      <c r="U78" s="12"/>
      <c r="V78" s="21"/>
      <c r="W78" s="10"/>
      <c r="X78" s="23"/>
    </row>
    <row r="79" spans="1:24" ht="15.6">
      <c r="A79" s="8"/>
      <c r="B79" s="21"/>
      <c r="C79" s="10"/>
      <c r="D79" s="22"/>
      <c r="E79" s="12"/>
      <c r="F79" s="21"/>
      <c r="G79" s="10"/>
      <c r="H79" s="22"/>
      <c r="I79" s="12"/>
      <c r="J79" s="21"/>
      <c r="K79" s="10"/>
      <c r="L79" s="22"/>
      <c r="M79" s="12"/>
      <c r="N79" s="21"/>
      <c r="O79" s="10"/>
      <c r="P79" s="22"/>
      <c r="Q79" s="12"/>
      <c r="R79" s="21"/>
      <c r="S79" s="10"/>
      <c r="T79" s="22"/>
      <c r="U79" s="12"/>
      <c r="V79" s="21"/>
      <c r="W79" s="10"/>
      <c r="X79" s="23"/>
    </row>
    <row r="80" spans="1:24" ht="15.6">
      <c r="A80" s="8"/>
      <c r="B80" s="21"/>
      <c r="C80" s="10"/>
      <c r="D80" s="22"/>
      <c r="E80" s="12"/>
      <c r="F80" s="21"/>
      <c r="G80" s="10"/>
      <c r="H80" s="22"/>
      <c r="I80" s="12"/>
      <c r="J80" s="21"/>
      <c r="K80" s="10"/>
      <c r="L80" s="22"/>
      <c r="M80" s="12"/>
      <c r="N80" s="21"/>
      <c r="O80" s="10"/>
      <c r="P80" s="22"/>
      <c r="Q80" s="12"/>
      <c r="R80" s="21"/>
      <c r="S80" s="10"/>
      <c r="T80" s="22"/>
      <c r="U80" s="12"/>
      <c r="V80" s="21"/>
      <c r="W80" s="10"/>
      <c r="X80" s="23"/>
    </row>
    <row r="81" spans="1:24" ht="15.6">
      <c r="A81" s="8"/>
      <c r="B81" s="21"/>
      <c r="C81" s="10"/>
      <c r="D81" s="22"/>
      <c r="E81" s="12"/>
      <c r="F81" s="21"/>
      <c r="G81" s="10"/>
      <c r="H81" s="22"/>
      <c r="I81" s="12"/>
      <c r="J81" s="21"/>
      <c r="K81" s="10"/>
      <c r="L81" s="22"/>
      <c r="M81" s="12"/>
      <c r="N81" s="21"/>
      <c r="O81" s="10"/>
      <c r="P81" s="22"/>
      <c r="Q81" s="12"/>
      <c r="R81" s="21"/>
      <c r="S81" s="10"/>
      <c r="T81" s="22"/>
      <c r="U81" s="12"/>
      <c r="V81" s="21"/>
      <c r="W81" s="10"/>
      <c r="X81" s="23"/>
    </row>
    <row r="82" spans="1:24" ht="15.6">
      <c r="A82" s="8"/>
      <c r="B82" s="21"/>
      <c r="C82" s="10"/>
      <c r="D82" s="22"/>
      <c r="E82" s="12"/>
      <c r="F82" s="21"/>
      <c r="G82" s="10"/>
      <c r="H82" s="22"/>
      <c r="I82" s="12"/>
      <c r="J82" s="21"/>
      <c r="K82" s="10"/>
      <c r="L82" s="22"/>
      <c r="M82" s="12"/>
      <c r="N82" s="21"/>
      <c r="O82" s="10"/>
      <c r="P82" s="22"/>
      <c r="Q82" s="12"/>
      <c r="R82" s="21"/>
      <c r="S82" s="10"/>
      <c r="T82" s="22"/>
      <c r="U82" s="12"/>
      <c r="V82" s="21"/>
      <c r="W82" s="10"/>
      <c r="X82" s="23"/>
    </row>
    <row r="83" spans="1:24" ht="15.6">
      <c r="A83" s="8"/>
      <c r="B83" s="21"/>
      <c r="C83" s="10"/>
      <c r="D83" s="22"/>
      <c r="E83" s="12"/>
      <c r="F83" s="21"/>
      <c r="G83" s="10"/>
      <c r="H83" s="22"/>
      <c r="I83" s="12"/>
      <c r="J83" s="21"/>
      <c r="K83" s="10"/>
      <c r="L83" s="22"/>
      <c r="M83" s="12"/>
      <c r="N83" s="21"/>
      <c r="O83" s="10"/>
      <c r="P83" s="22"/>
      <c r="Q83" s="12"/>
      <c r="R83" s="21"/>
      <c r="S83" s="10"/>
      <c r="T83" s="22"/>
      <c r="U83" s="12"/>
      <c r="V83" s="21"/>
      <c r="W83" s="10"/>
      <c r="X83" s="23"/>
    </row>
    <row r="84" spans="1:24" ht="15.6">
      <c r="A84" s="8"/>
      <c r="B84" s="21"/>
      <c r="C84" s="10"/>
      <c r="D84" s="22"/>
      <c r="E84" s="12"/>
      <c r="F84" s="21"/>
      <c r="G84" s="10"/>
      <c r="H84" s="22"/>
      <c r="I84" s="12"/>
      <c r="J84" s="21"/>
      <c r="K84" s="10"/>
      <c r="L84" s="22"/>
      <c r="M84" s="12"/>
      <c r="N84" s="21"/>
      <c r="O84" s="10"/>
      <c r="P84" s="22"/>
      <c r="Q84" s="12"/>
      <c r="R84" s="21"/>
      <c r="S84" s="10"/>
      <c r="T84" s="22"/>
      <c r="U84" s="12"/>
      <c r="V84" s="21"/>
      <c r="W84" s="10"/>
      <c r="X84" s="23"/>
    </row>
    <row r="85" spans="1:24" ht="15.6">
      <c r="A85" s="8"/>
      <c r="B85" s="21"/>
      <c r="C85" s="10"/>
      <c r="D85" s="22"/>
      <c r="E85" s="12"/>
      <c r="F85" s="21"/>
      <c r="G85" s="10"/>
      <c r="H85" s="22"/>
      <c r="I85" s="12"/>
      <c r="J85" s="21"/>
      <c r="K85" s="10"/>
      <c r="L85" s="22"/>
      <c r="M85" s="12"/>
      <c r="N85" s="21"/>
      <c r="O85" s="10"/>
      <c r="P85" s="22"/>
      <c r="Q85" s="12"/>
      <c r="R85" s="21"/>
      <c r="S85" s="10"/>
      <c r="T85" s="22"/>
      <c r="U85" s="12"/>
      <c r="V85" s="21"/>
      <c r="W85" s="10"/>
      <c r="X85" s="23"/>
    </row>
    <row r="86" spans="1:24" ht="15.6">
      <c r="A86" s="8"/>
      <c r="B86" s="21"/>
      <c r="C86" s="10"/>
      <c r="D86" s="22"/>
      <c r="E86" s="12"/>
      <c r="F86" s="21"/>
      <c r="G86" s="10"/>
      <c r="H86" s="22"/>
      <c r="I86" s="12"/>
      <c r="J86" s="21"/>
      <c r="K86" s="10"/>
      <c r="L86" s="22"/>
      <c r="M86" s="12"/>
      <c r="N86" s="21"/>
      <c r="O86" s="10"/>
      <c r="P86" s="22"/>
      <c r="Q86" s="12"/>
      <c r="R86" s="21"/>
      <c r="S86" s="10"/>
      <c r="T86" s="22"/>
      <c r="U86" s="12"/>
      <c r="V86" s="21"/>
      <c r="W86" s="10"/>
      <c r="X86" s="23"/>
    </row>
    <row r="87" spans="1:24" ht="15.6">
      <c r="A87" s="8"/>
      <c r="B87" s="21"/>
      <c r="C87" s="10"/>
      <c r="D87" s="22"/>
      <c r="E87" s="12"/>
      <c r="F87" s="21"/>
      <c r="G87" s="10"/>
      <c r="H87" s="22"/>
      <c r="I87" s="12"/>
      <c r="J87" s="21"/>
      <c r="K87" s="10"/>
      <c r="L87" s="22"/>
      <c r="M87" s="12"/>
      <c r="N87" s="21"/>
      <c r="O87" s="10"/>
      <c r="P87" s="22"/>
      <c r="Q87" s="12"/>
      <c r="R87" s="21"/>
      <c r="S87" s="10"/>
      <c r="T87" s="22"/>
      <c r="U87" s="12"/>
      <c r="V87" s="21"/>
      <c r="W87" s="10"/>
      <c r="X87" s="23"/>
    </row>
    <row r="88" spans="1:24" ht="15.6">
      <c r="A88" s="8"/>
      <c r="B88" s="21"/>
      <c r="C88" s="10"/>
      <c r="D88" s="22"/>
      <c r="E88" s="12"/>
      <c r="F88" s="21"/>
      <c r="G88" s="10"/>
      <c r="H88" s="22"/>
      <c r="I88" s="12"/>
      <c r="J88" s="21"/>
      <c r="K88" s="10"/>
      <c r="L88" s="22"/>
      <c r="M88" s="12"/>
      <c r="N88" s="21"/>
      <c r="O88" s="10"/>
      <c r="P88" s="22"/>
      <c r="Q88" s="12"/>
      <c r="R88" s="21"/>
      <c r="S88" s="10"/>
      <c r="T88" s="22"/>
      <c r="U88" s="12"/>
      <c r="V88" s="21"/>
      <c r="W88" s="10"/>
      <c r="X88" s="23"/>
    </row>
    <row r="89" spans="1:24" ht="15.6">
      <c r="A89" s="8"/>
      <c r="B89" s="21"/>
      <c r="C89" s="10"/>
      <c r="D89" s="22"/>
      <c r="E89" s="12"/>
      <c r="F89" s="21"/>
      <c r="G89" s="10"/>
      <c r="H89" s="22"/>
      <c r="I89" s="12"/>
      <c r="J89" s="21"/>
      <c r="K89" s="10"/>
      <c r="L89" s="22"/>
      <c r="M89" s="12"/>
      <c r="N89" s="21"/>
      <c r="O89" s="10"/>
      <c r="P89" s="22"/>
      <c r="Q89" s="12"/>
      <c r="R89" s="21"/>
      <c r="S89" s="10"/>
      <c r="T89" s="22"/>
      <c r="U89" s="12"/>
      <c r="V89" s="21"/>
      <c r="W89" s="10"/>
      <c r="X89" s="23"/>
    </row>
    <row r="90" spans="1:24" ht="15.6">
      <c r="A90" s="8"/>
      <c r="B90" s="21"/>
      <c r="C90" s="10"/>
      <c r="D90" s="22"/>
      <c r="E90" s="12"/>
      <c r="F90" s="21"/>
      <c r="G90" s="10"/>
      <c r="H90" s="22"/>
      <c r="I90" s="12"/>
      <c r="J90" s="21"/>
      <c r="K90" s="10"/>
      <c r="L90" s="22"/>
      <c r="M90" s="12"/>
      <c r="N90" s="21"/>
      <c r="O90" s="10"/>
      <c r="P90" s="22"/>
      <c r="Q90" s="12"/>
      <c r="R90" s="21"/>
      <c r="S90" s="10"/>
      <c r="T90" s="22"/>
      <c r="U90" s="12"/>
      <c r="V90" s="21"/>
      <c r="W90" s="10"/>
      <c r="X90" s="23"/>
    </row>
    <row r="91" spans="1:24" ht="15.6">
      <c r="A91" s="8"/>
      <c r="B91" s="21"/>
      <c r="C91" s="10"/>
      <c r="D91" s="22"/>
      <c r="E91" s="12"/>
      <c r="F91" s="21"/>
      <c r="G91" s="10"/>
      <c r="H91" s="22"/>
      <c r="I91" s="12"/>
      <c r="J91" s="21"/>
      <c r="K91" s="10"/>
      <c r="L91" s="22"/>
      <c r="M91" s="12"/>
      <c r="N91" s="21"/>
      <c r="O91" s="10"/>
      <c r="P91" s="22"/>
      <c r="Q91" s="12"/>
      <c r="R91" s="21"/>
      <c r="S91" s="10"/>
      <c r="T91" s="22"/>
      <c r="U91" s="12"/>
      <c r="V91" s="21"/>
      <c r="W91" s="10"/>
      <c r="X91" s="23"/>
    </row>
    <row r="92" spans="1:24" ht="15.6">
      <c r="A92" s="8"/>
      <c r="B92" s="21"/>
      <c r="C92" s="10"/>
      <c r="D92" s="22"/>
      <c r="E92" s="12"/>
      <c r="F92" s="21"/>
      <c r="G92" s="10"/>
      <c r="H92" s="22"/>
      <c r="I92" s="12"/>
      <c r="J92" s="21"/>
      <c r="K92" s="10"/>
      <c r="L92" s="22"/>
      <c r="M92" s="12"/>
      <c r="N92" s="21"/>
      <c r="O92" s="10"/>
      <c r="P92" s="22"/>
      <c r="Q92" s="12"/>
      <c r="R92" s="21"/>
      <c r="S92" s="10"/>
      <c r="T92" s="22"/>
      <c r="U92" s="12"/>
      <c r="V92" s="21"/>
      <c r="W92" s="10"/>
      <c r="X92" s="23"/>
    </row>
    <row r="93" spans="1:24" ht="15.6">
      <c r="A93" s="8"/>
      <c r="B93" s="21"/>
      <c r="C93" s="10"/>
      <c r="D93" s="22"/>
      <c r="E93" s="12"/>
      <c r="F93" s="21"/>
      <c r="G93" s="10"/>
      <c r="H93" s="22"/>
      <c r="I93" s="12"/>
      <c r="J93" s="21"/>
      <c r="K93" s="10"/>
      <c r="L93" s="22"/>
      <c r="M93" s="12"/>
      <c r="N93" s="21"/>
      <c r="O93" s="10"/>
      <c r="P93" s="22"/>
      <c r="Q93" s="12"/>
      <c r="R93" s="21"/>
      <c r="S93" s="10"/>
      <c r="T93" s="22"/>
      <c r="U93" s="12"/>
      <c r="V93" s="21"/>
      <c r="W93" s="10"/>
      <c r="X93" s="23"/>
    </row>
    <row r="94" spans="1:24" ht="15.6">
      <c r="A94" s="8"/>
      <c r="B94" s="21"/>
      <c r="C94" s="10"/>
      <c r="D94" s="22"/>
      <c r="E94" s="12"/>
      <c r="F94" s="21"/>
      <c r="G94" s="10"/>
      <c r="H94" s="22"/>
      <c r="I94" s="12"/>
      <c r="J94" s="21"/>
      <c r="K94" s="10"/>
      <c r="L94" s="22"/>
      <c r="M94" s="12"/>
      <c r="N94" s="21"/>
      <c r="O94" s="10"/>
      <c r="P94" s="22"/>
      <c r="Q94" s="12"/>
      <c r="R94" s="21"/>
      <c r="S94" s="10"/>
      <c r="T94" s="22"/>
      <c r="U94" s="12"/>
      <c r="V94" s="21"/>
      <c r="W94" s="10"/>
      <c r="X94" s="23"/>
    </row>
    <row r="95" spans="1:24" ht="15.6">
      <c r="A95" s="8"/>
      <c r="B95" s="21"/>
      <c r="C95" s="10"/>
      <c r="D95" s="22"/>
      <c r="E95" s="12"/>
      <c r="F95" s="21"/>
      <c r="G95" s="10"/>
      <c r="H95" s="22"/>
      <c r="I95" s="12"/>
      <c r="J95" s="21"/>
      <c r="K95" s="10"/>
      <c r="L95" s="22"/>
      <c r="M95" s="12"/>
      <c r="N95" s="21"/>
      <c r="O95" s="10"/>
      <c r="P95" s="22"/>
      <c r="Q95" s="12"/>
      <c r="R95" s="21"/>
      <c r="S95" s="10"/>
      <c r="T95" s="22"/>
      <c r="U95" s="12"/>
      <c r="V95" s="21"/>
      <c r="W95" s="10"/>
      <c r="X95" s="23"/>
    </row>
    <row r="96" spans="1:24" ht="15.6">
      <c r="A96" s="8"/>
      <c r="B96" s="21"/>
      <c r="C96" s="10"/>
      <c r="D96" s="22"/>
      <c r="E96" s="12"/>
      <c r="F96" s="21"/>
      <c r="G96" s="10"/>
      <c r="H96" s="22"/>
      <c r="I96" s="12"/>
      <c r="J96" s="21"/>
      <c r="K96" s="10"/>
      <c r="L96" s="22"/>
      <c r="M96" s="12"/>
      <c r="N96" s="21"/>
      <c r="O96" s="10"/>
      <c r="P96" s="22"/>
      <c r="Q96" s="12"/>
      <c r="R96" s="21"/>
      <c r="S96" s="10"/>
      <c r="T96" s="22"/>
      <c r="U96" s="12"/>
      <c r="V96" s="21"/>
      <c r="W96" s="10"/>
      <c r="X96" s="23"/>
    </row>
    <row r="97" spans="1:24" ht="15.6">
      <c r="A97" s="8"/>
      <c r="B97" s="21"/>
      <c r="C97" s="10"/>
      <c r="D97" s="22"/>
      <c r="E97" s="12"/>
      <c r="F97" s="21"/>
      <c r="G97" s="10"/>
      <c r="H97" s="22"/>
      <c r="I97" s="12"/>
      <c r="J97" s="21"/>
      <c r="K97" s="10"/>
      <c r="L97" s="22"/>
      <c r="M97" s="12"/>
      <c r="N97" s="21"/>
      <c r="O97" s="10"/>
      <c r="P97" s="22"/>
      <c r="Q97" s="12"/>
      <c r="R97" s="21"/>
      <c r="S97" s="10"/>
      <c r="T97" s="22"/>
      <c r="U97" s="12"/>
      <c r="V97" s="21"/>
      <c r="W97" s="10"/>
      <c r="X97" s="23"/>
    </row>
    <row r="98" spans="1:24" ht="15.6">
      <c r="A98" s="8"/>
      <c r="B98" s="21"/>
      <c r="C98" s="10"/>
      <c r="D98" s="22"/>
      <c r="E98" s="12"/>
      <c r="F98" s="21"/>
      <c r="G98" s="10"/>
      <c r="H98" s="22"/>
      <c r="I98" s="12"/>
      <c r="J98" s="21"/>
      <c r="K98" s="10"/>
      <c r="L98" s="22"/>
      <c r="M98" s="12"/>
      <c r="N98" s="21"/>
      <c r="O98" s="10"/>
      <c r="P98" s="22"/>
      <c r="Q98" s="12"/>
      <c r="R98" s="21"/>
      <c r="S98" s="10"/>
      <c r="T98" s="22"/>
      <c r="U98" s="12"/>
      <c r="V98" s="21"/>
      <c r="W98" s="10"/>
      <c r="X98" s="23"/>
    </row>
    <row r="99" spans="1:24" ht="15.6">
      <c r="A99" s="8"/>
      <c r="B99" s="21"/>
      <c r="C99" s="10"/>
      <c r="D99" s="22"/>
      <c r="E99" s="12"/>
      <c r="F99" s="21"/>
      <c r="G99" s="10"/>
      <c r="H99" s="22"/>
      <c r="I99" s="12"/>
      <c r="J99" s="21"/>
      <c r="K99" s="10"/>
      <c r="L99" s="22"/>
      <c r="M99" s="12"/>
      <c r="N99" s="21"/>
      <c r="O99" s="10"/>
      <c r="P99" s="22"/>
      <c r="Q99" s="12"/>
      <c r="R99" s="21"/>
      <c r="S99" s="10"/>
      <c r="T99" s="22"/>
      <c r="U99" s="12"/>
      <c r="V99" s="21"/>
      <c r="W99" s="10"/>
      <c r="X99" s="23"/>
    </row>
    <row r="100" spans="1:24" ht="15.6">
      <c r="A100" s="8"/>
      <c r="B100" s="21"/>
      <c r="C100" s="10"/>
      <c r="D100" s="22"/>
      <c r="E100" s="12"/>
      <c r="F100" s="21"/>
      <c r="G100" s="10"/>
      <c r="H100" s="22"/>
      <c r="I100" s="12"/>
      <c r="J100" s="21"/>
      <c r="K100" s="10"/>
      <c r="L100" s="22"/>
      <c r="M100" s="12"/>
      <c r="N100" s="21"/>
      <c r="O100" s="10"/>
      <c r="P100" s="22"/>
      <c r="Q100" s="12"/>
      <c r="R100" s="21"/>
      <c r="S100" s="10"/>
      <c r="T100" s="22"/>
      <c r="U100" s="12"/>
      <c r="V100" s="21"/>
      <c r="W100" s="10"/>
      <c r="X100" s="23"/>
    </row>
    <row r="101" spans="1:24" ht="15.6">
      <c r="A101" s="8"/>
      <c r="B101" s="21"/>
      <c r="C101" s="10"/>
      <c r="D101" s="22"/>
      <c r="E101" s="12"/>
      <c r="F101" s="21"/>
      <c r="G101" s="10"/>
      <c r="H101" s="22"/>
      <c r="I101" s="12"/>
      <c r="J101" s="21"/>
      <c r="K101" s="10"/>
      <c r="L101" s="22"/>
      <c r="M101" s="12"/>
      <c r="N101" s="21"/>
      <c r="O101" s="10"/>
      <c r="P101" s="22"/>
      <c r="Q101" s="12"/>
      <c r="R101" s="21"/>
      <c r="S101" s="10"/>
      <c r="T101" s="22"/>
      <c r="U101" s="12"/>
      <c r="V101" s="21"/>
      <c r="W101" s="10"/>
      <c r="X101" s="23"/>
    </row>
    <row r="102" spans="1:24" ht="15.6">
      <c r="A102" s="8"/>
      <c r="B102" s="21"/>
      <c r="C102" s="10"/>
      <c r="D102" s="22"/>
      <c r="E102" s="12"/>
      <c r="F102" s="21"/>
      <c r="G102" s="10"/>
      <c r="H102" s="22"/>
      <c r="I102" s="12"/>
      <c r="J102" s="21"/>
      <c r="K102" s="10"/>
      <c r="L102" s="22"/>
      <c r="M102" s="12"/>
      <c r="N102" s="21"/>
      <c r="O102" s="10"/>
      <c r="P102" s="22"/>
      <c r="Q102" s="12"/>
      <c r="R102" s="21"/>
      <c r="S102" s="10"/>
      <c r="T102" s="22"/>
      <c r="U102" s="12"/>
      <c r="V102" s="21"/>
      <c r="W102" s="10"/>
      <c r="X102" s="23"/>
    </row>
    <row r="103" spans="1:24" ht="15.6">
      <c r="A103" s="8"/>
      <c r="B103" s="21"/>
      <c r="C103" s="10"/>
      <c r="D103" s="22"/>
      <c r="E103" s="12"/>
      <c r="F103" s="21"/>
      <c r="G103" s="10"/>
      <c r="H103" s="22"/>
      <c r="I103" s="12"/>
      <c r="J103" s="21"/>
      <c r="K103" s="10"/>
      <c r="L103" s="22"/>
      <c r="M103" s="12"/>
      <c r="N103" s="21"/>
      <c r="O103" s="10"/>
      <c r="P103" s="22"/>
      <c r="Q103" s="12"/>
      <c r="R103" s="21"/>
      <c r="S103" s="10"/>
      <c r="T103" s="22"/>
      <c r="U103" s="12"/>
      <c r="V103" s="21"/>
      <c r="W103" s="10"/>
      <c r="X103" s="23"/>
    </row>
    <row r="104" spans="1:24" ht="15.6">
      <c r="A104" s="8"/>
      <c r="B104" s="21"/>
      <c r="C104" s="10"/>
      <c r="D104" s="22"/>
      <c r="E104" s="12"/>
      <c r="F104" s="21"/>
      <c r="G104" s="10"/>
      <c r="H104" s="22"/>
      <c r="I104" s="12"/>
      <c r="J104" s="21"/>
      <c r="K104" s="10"/>
      <c r="L104" s="22"/>
      <c r="M104" s="12"/>
      <c r="N104" s="21"/>
      <c r="O104" s="10"/>
      <c r="P104" s="22"/>
      <c r="Q104" s="12"/>
      <c r="R104" s="21"/>
      <c r="S104" s="10"/>
      <c r="T104" s="22"/>
      <c r="U104" s="12"/>
      <c r="V104" s="21"/>
      <c r="W104" s="10"/>
      <c r="X104" s="23"/>
    </row>
    <row r="105" spans="1:24" ht="15.6">
      <c r="A105" s="8"/>
      <c r="B105" s="21"/>
      <c r="C105" s="10"/>
      <c r="D105" s="22"/>
      <c r="E105" s="12"/>
      <c r="F105" s="21"/>
      <c r="G105" s="10"/>
      <c r="H105" s="22"/>
      <c r="I105" s="12"/>
      <c r="J105" s="21"/>
      <c r="K105" s="10"/>
      <c r="L105" s="22"/>
      <c r="M105" s="12"/>
      <c r="N105" s="21"/>
      <c r="O105" s="10"/>
      <c r="P105" s="22"/>
      <c r="Q105" s="12"/>
      <c r="R105" s="21"/>
      <c r="S105" s="10"/>
      <c r="T105" s="22"/>
      <c r="U105" s="12"/>
      <c r="V105" s="21"/>
      <c r="W105" s="10"/>
      <c r="X105" s="23"/>
    </row>
    <row r="106" spans="1:24" ht="15.6">
      <c r="A106" s="8"/>
      <c r="B106" s="21"/>
      <c r="C106" s="10"/>
      <c r="D106" s="22"/>
      <c r="E106" s="12"/>
      <c r="F106" s="21"/>
      <c r="G106" s="10"/>
      <c r="H106" s="22"/>
      <c r="I106" s="12"/>
      <c r="J106" s="21"/>
      <c r="K106" s="10"/>
      <c r="L106" s="22"/>
      <c r="M106" s="12"/>
      <c r="N106" s="21"/>
      <c r="O106" s="10"/>
      <c r="P106" s="22"/>
      <c r="Q106" s="12"/>
      <c r="R106" s="21"/>
      <c r="S106" s="10"/>
      <c r="T106" s="22"/>
      <c r="U106" s="12"/>
      <c r="V106" s="21"/>
      <c r="W106" s="10"/>
      <c r="X106" s="23"/>
    </row>
    <row r="107" spans="1:24" ht="15.6">
      <c r="A107" s="8"/>
      <c r="B107" s="21"/>
      <c r="C107" s="10"/>
      <c r="D107" s="22"/>
      <c r="E107" s="12"/>
      <c r="F107" s="21"/>
      <c r="G107" s="10"/>
      <c r="H107" s="22"/>
      <c r="I107" s="12"/>
      <c r="J107" s="21"/>
      <c r="K107" s="10"/>
      <c r="L107" s="22"/>
      <c r="M107" s="12"/>
      <c r="N107" s="21"/>
      <c r="O107" s="10"/>
      <c r="P107" s="22"/>
      <c r="Q107" s="12"/>
      <c r="R107" s="21"/>
      <c r="S107" s="10"/>
      <c r="T107" s="22"/>
      <c r="U107" s="12"/>
      <c r="V107" s="21"/>
      <c r="W107" s="10"/>
      <c r="X107" s="23"/>
    </row>
    <row r="108" spans="1:24" ht="15.6">
      <c r="A108" s="8"/>
      <c r="B108" s="21"/>
      <c r="C108" s="10"/>
      <c r="D108" s="22"/>
      <c r="E108" s="12"/>
      <c r="F108" s="21"/>
      <c r="G108" s="10"/>
      <c r="H108" s="22"/>
      <c r="I108" s="12"/>
      <c r="J108" s="21"/>
      <c r="K108" s="10"/>
      <c r="L108" s="22"/>
      <c r="M108" s="12"/>
      <c r="N108" s="21"/>
      <c r="O108" s="10"/>
      <c r="P108" s="22"/>
      <c r="Q108" s="12"/>
      <c r="R108" s="21"/>
      <c r="S108" s="10"/>
      <c r="T108" s="22"/>
      <c r="U108" s="12"/>
      <c r="V108" s="21"/>
      <c r="W108" s="10"/>
      <c r="X108" s="23"/>
    </row>
    <row r="109" spans="1:24" ht="15.6">
      <c r="A109" s="8"/>
      <c r="B109" s="21"/>
      <c r="C109" s="10"/>
      <c r="D109" s="22"/>
      <c r="E109" s="12"/>
      <c r="F109" s="21"/>
      <c r="G109" s="10"/>
      <c r="H109" s="22"/>
      <c r="I109" s="12"/>
      <c r="J109" s="21"/>
      <c r="K109" s="10"/>
      <c r="L109" s="22"/>
      <c r="M109" s="12"/>
      <c r="N109" s="21"/>
      <c r="O109" s="10"/>
      <c r="P109" s="22"/>
      <c r="Q109" s="12"/>
      <c r="R109" s="21"/>
      <c r="S109" s="10"/>
      <c r="T109" s="22"/>
      <c r="U109" s="12"/>
      <c r="V109" s="21"/>
      <c r="W109" s="10"/>
      <c r="X109" s="23"/>
    </row>
    <row r="110" spans="1:24" ht="15.6">
      <c r="A110" s="8"/>
      <c r="B110" s="21"/>
      <c r="C110" s="10"/>
      <c r="D110" s="22"/>
      <c r="E110" s="12"/>
      <c r="F110" s="21"/>
      <c r="G110" s="10"/>
      <c r="H110" s="22"/>
      <c r="I110" s="12"/>
      <c r="J110" s="21"/>
      <c r="K110" s="10"/>
      <c r="L110" s="22"/>
      <c r="M110" s="12"/>
      <c r="N110" s="21"/>
      <c r="O110" s="10"/>
      <c r="P110" s="22"/>
      <c r="Q110" s="12"/>
      <c r="R110" s="21"/>
      <c r="S110" s="10"/>
      <c r="T110" s="22"/>
      <c r="U110" s="12"/>
      <c r="V110" s="21"/>
      <c r="W110" s="10"/>
      <c r="X110" s="23"/>
    </row>
    <row r="111" spans="1:24" ht="15.6">
      <c r="A111" s="8"/>
      <c r="B111" s="21"/>
      <c r="C111" s="10"/>
      <c r="D111" s="22"/>
      <c r="E111" s="12"/>
      <c r="F111" s="21"/>
      <c r="G111" s="10"/>
      <c r="H111" s="22"/>
      <c r="I111" s="12"/>
      <c r="J111" s="21"/>
      <c r="K111" s="10"/>
      <c r="L111" s="22"/>
      <c r="M111" s="12"/>
      <c r="N111" s="21"/>
      <c r="O111" s="10"/>
      <c r="P111" s="22"/>
      <c r="Q111" s="12"/>
      <c r="R111" s="21"/>
      <c r="S111" s="10"/>
      <c r="T111" s="22"/>
      <c r="U111" s="12"/>
      <c r="V111" s="21"/>
      <c r="W111" s="10"/>
      <c r="X111" s="23"/>
    </row>
    <row r="112" spans="1:24" ht="15.6">
      <c r="A112" s="8"/>
      <c r="B112" s="21"/>
      <c r="C112" s="10"/>
      <c r="D112" s="22"/>
      <c r="E112" s="12"/>
      <c r="F112" s="21"/>
      <c r="G112" s="10"/>
      <c r="H112" s="22"/>
      <c r="I112" s="12"/>
      <c r="J112" s="21"/>
      <c r="K112" s="10"/>
      <c r="L112" s="22"/>
      <c r="M112" s="12"/>
      <c r="N112" s="21"/>
      <c r="O112" s="10"/>
      <c r="P112" s="22"/>
      <c r="Q112" s="12"/>
      <c r="R112" s="21"/>
      <c r="S112" s="10"/>
      <c r="T112" s="22"/>
      <c r="U112" s="12"/>
      <c r="V112" s="21"/>
      <c r="W112" s="10"/>
      <c r="X112" s="23"/>
    </row>
    <row r="113" spans="1:24" ht="15.6">
      <c r="A113" s="8"/>
      <c r="B113" s="21"/>
      <c r="C113" s="10"/>
      <c r="D113" s="22"/>
      <c r="E113" s="12"/>
      <c r="F113" s="21"/>
      <c r="G113" s="10"/>
      <c r="H113" s="22"/>
      <c r="I113" s="12"/>
      <c r="J113" s="21"/>
      <c r="K113" s="10"/>
      <c r="L113" s="22"/>
      <c r="M113" s="12"/>
      <c r="N113" s="21"/>
      <c r="O113" s="10"/>
      <c r="P113" s="22"/>
      <c r="Q113" s="12"/>
      <c r="R113" s="21"/>
      <c r="S113" s="10"/>
      <c r="T113" s="22"/>
      <c r="U113" s="12"/>
      <c r="V113" s="21"/>
      <c r="W113" s="10"/>
      <c r="X113" s="23"/>
    </row>
    <row r="114" spans="1:24" ht="15.6">
      <c r="A114" s="8"/>
      <c r="B114" s="21"/>
      <c r="C114" s="10"/>
      <c r="D114" s="22"/>
      <c r="E114" s="12"/>
      <c r="F114" s="21"/>
      <c r="G114" s="10"/>
      <c r="H114" s="22"/>
      <c r="I114" s="12"/>
      <c r="J114" s="21"/>
      <c r="K114" s="10"/>
      <c r="L114" s="22"/>
      <c r="M114" s="12"/>
      <c r="N114" s="21"/>
      <c r="O114" s="10"/>
      <c r="P114" s="22"/>
      <c r="Q114" s="12"/>
      <c r="R114" s="21"/>
      <c r="S114" s="10"/>
      <c r="T114" s="22"/>
      <c r="U114" s="12"/>
      <c r="V114" s="21"/>
      <c r="W114" s="10"/>
      <c r="X114" s="23"/>
    </row>
    <row r="115" spans="1:24" ht="15.6">
      <c r="A115" s="8"/>
      <c r="B115" s="21"/>
      <c r="C115" s="10"/>
      <c r="D115" s="22"/>
      <c r="E115" s="12"/>
      <c r="F115" s="21"/>
      <c r="G115" s="10"/>
      <c r="H115" s="22"/>
      <c r="I115" s="12"/>
      <c r="J115" s="21"/>
      <c r="K115" s="10"/>
      <c r="L115" s="22"/>
      <c r="M115" s="12"/>
      <c r="N115" s="21"/>
      <c r="O115" s="10"/>
      <c r="P115" s="22"/>
      <c r="Q115" s="12"/>
      <c r="R115" s="21"/>
      <c r="S115" s="10"/>
      <c r="T115" s="22"/>
      <c r="U115" s="12"/>
      <c r="V115" s="21"/>
      <c r="W115" s="10"/>
      <c r="X115" s="23"/>
    </row>
    <row r="116" spans="1:24" ht="15.6">
      <c r="A116" s="8"/>
      <c r="B116" s="21"/>
      <c r="C116" s="10"/>
      <c r="D116" s="22"/>
      <c r="E116" s="12"/>
      <c r="F116" s="21"/>
      <c r="G116" s="10"/>
      <c r="H116" s="22"/>
      <c r="I116" s="12"/>
      <c r="J116" s="21"/>
      <c r="K116" s="10"/>
      <c r="L116" s="22"/>
      <c r="M116" s="12"/>
      <c r="N116" s="21"/>
      <c r="O116" s="10"/>
      <c r="P116" s="22"/>
      <c r="Q116" s="12"/>
      <c r="R116" s="21"/>
      <c r="S116" s="10"/>
      <c r="T116" s="22"/>
      <c r="U116" s="12"/>
      <c r="V116" s="21"/>
      <c r="W116" s="10"/>
      <c r="X116" s="23"/>
    </row>
    <row r="117" spans="1:24" ht="15.6">
      <c r="A117" s="8"/>
      <c r="B117" s="21"/>
      <c r="C117" s="10"/>
      <c r="D117" s="22"/>
      <c r="E117" s="12"/>
      <c r="F117" s="21"/>
      <c r="G117" s="10"/>
      <c r="H117" s="22"/>
      <c r="I117" s="12"/>
      <c r="J117" s="21"/>
      <c r="K117" s="10"/>
      <c r="L117" s="22"/>
      <c r="M117" s="12"/>
      <c r="N117" s="21"/>
      <c r="O117" s="10"/>
      <c r="P117" s="22"/>
      <c r="Q117" s="12"/>
      <c r="R117" s="21"/>
      <c r="S117" s="10"/>
      <c r="T117" s="22"/>
      <c r="U117" s="12"/>
      <c r="V117" s="21"/>
      <c r="W117" s="10"/>
      <c r="X117" s="23"/>
    </row>
    <row r="118" spans="1:24" ht="15.6">
      <c r="A118" s="8"/>
      <c r="B118" s="21"/>
      <c r="C118" s="10"/>
      <c r="D118" s="22"/>
      <c r="E118" s="12"/>
      <c r="F118" s="21"/>
      <c r="G118" s="10"/>
      <c r="H118" s="22"/>
      <c r="I118" s="12"/>
      <c r="J118" s="21"/>
      <c r="K118" s="10"/>
      <c r="L118" s="22"/>
      <c r="M118" s="12"/>
      <c r="N118" s="21"/>
      <c r="O118" s="10"/>
      <c r="P118" s="22"/>
      <c r="Q118" s="12"/>
      <c r="R118" s="21"/>
      <c r="S118" s="10"/>
      <c r="T118" s="22"/>
      <c r="U118" s="12"/>
      <c r="V118" s="21"/>
      <c r="W118" s="10"/>
      <c r="X118" s="23"/>
    </row>
    <row r="119" spans="1:24" ht="15.6">
      <c r="A119" s="8"/>
      <c r="B119" s="21"/>
      <c r="C119" s="10"/>
      <c r="D119" s="22"/>
      <c r="E119" s="12"/>
      <c r="F119" s="21"/>
      <c r="G119" s="10"/>
      <c r="H119" s="22"/>
      <c r="I119" s="12"/>
      <c r="J119" s="21"/>
      <c r="K119" s="10"/>
      <c r="L119" s="22"/>
      <c r="M119" s="12"/>
      <c r="N119" s="21"/>
      <c r="O119" s="10"/>
      <c r="P119" s="22"/>
      <c r="Q119" s="12"/>
      <c r="R119" s="21"/>
      <c r="S119" s="10"/>
      <c r="T119" s="22"/>
      <c r="U119" s="12"/>
      <c r="V119" s="21"/>
      <c r="W119" s="10"/>
      <c r="X119" s="23"/>
    </row>
    <row r="120" spans="1:24" ht="16.2" thickBot="1">
      <c r="A120" s="37" t="s">
        <v>17</v>
      </c>
      <c r="B120" s="76">
        <f>SUM(B$61:B$119)</f>
        <v>0</v>
      </c>
      <c r="C120" s="39" t="str">
        <f>A120</f>
        <v xml:space="preserve">Summe + </v>
      </c>
      <c r="D120" s="76">
        <f>SUM(D$61:D$119)</f>
        <v>0</v>
      </c>
      <c r="E120" s="40" t="s">
        <v>23</v>
      </c>
      <c r="F120" s="76">
        <f>SUM(F$61:F$119)</f>
        <v>0</v>
      </c>
      <c r="G120" s="39" t="str">
        <f>A120</f>
        <v xml:space="preserve">Summe + </v>
      </c>
      <c r="H120" s="76">
        <f>SUM(H$61:H$119)</f>
        <v>0</v>
      </c>
      <c r="I120" s="40" t="str">
        <f>A120</f>
        <v xml:space="preserve">Summe + </v>
      </c>
      <c r="J120" s="76">
        <f>SUM(J$61:J$119)</f>
        <v>0</v>
      </c>
      <c r="K120" s="42" t="str">
        <f>A120</f>
        <v xml:space="preserve">Summe + </v>
      </c>
      <c r="L120" s="76">
        <f>SUM(L$61:L$119)</f>
        <v>0</v>
      </c>
      <c r="M120" s="40" t="str">
        <f>A120</f>
        <v xml:space="preserve">Summe + </v>
      </c>
      <c r="N120" s="76">
        <f>SUM(N$61:N$119)</f>
        <v>0</v>
      </c>
      <c r="O120" s="39" t="str">
        <f>A120</f>
        <v xml:space="preserve">Summe + </v>
      </c>
      <c r="P120" s="76">
        <f>SUM(P$61:P$119)</f>
        <v>0</v>
      </c>
      <c r="Q120" s="40" t="str">
        <f>A120</f>
        <v xml:space="preserve">Summe + </v>
      </c>
      <c r="R120" s="76">
        <f>SUM(R$61:R$119)</f>
        <v>0</v>
      </c>
      <c r="S120" s="39" t="str">
        <f>A120</f>
        <v xml:space="preserve">Summe + </v>
      </c>
      <c r="T120" s="76">
        <f>SUM(T$61:T$119)</f>
        <v>0</v>
      </c>
      <c r="U120" s="40" t="str">
        <f>A120</f>
        <v xml:space="preserve">Summe + </v>
      </c>
      <c r="V120" s="76">
        <f>SUM(V$61:V$119)</f>
        <v>0</v>
      </c>
      <c r="W120" s="39" t="str">
        <f>A120</f>
        <v xml:space="preserve">Summe + </v>
      </c>
      <c r="X120" s="77">
        <f>SUM(X$61:X$119)</f>
        <v>0</v>
      </c>
    </row>
    <row r="121" spans="1:24" ht="16.2" thickBot="1">
      <c r="A121" s="45" t="s">
        <v>5</v>
      </c>
      <c r="B121" s="46">
        <f>B60+B120</f>
        <v>0</v>
      </c>
      <c r="C121" s="47" t="str">
        <f>A121</f>
        <v>Summe</v>
      </c>
      <c r="D121" s="48">
        <f>D60+D120</f>
        <v>0</v>
      </c>
      <c r="E121" s="49" t="str">
        <f>A121</f>
        <v>Summe</v>
      </c>
      <c r="F121" s="46">
        <f>F60+F120</f>
        <v>0</v>
      </c>
      <c r="G121" s="47" t="str">
        <f>A121</f>
        <v>Summe</v>
      </c>
      <c r="H121" s="48">
        <f>H60+H120</f>
        <v>0</v>
      </c>
      <c r="I121" s="49" t="str">
        <f>A121</f>
        <v>Summe</v>
      </c>
      <c r="J121" s="46">
        <f>J60+J120</f>
        <v>0</v>
      </c>
      <c r="K121" s="47" t="str">
        <f>A121</f>
        <v>Summe</v>
      </c>
      <c r="L121" s="48">
        <f>L60+L120</f>
        <v>0</v>
      </c>
      <c r="M121" s="49" t="str">
        <f>A121</f>
        <v>Summe</v>
      </c>
      <c r="N121" s="46">
        <f>N60+N120</f>
        <v>0</v>
      </c>
      <c r="O121" s="47" t="str">
        <f>A121</f>
        <v>Summe</v>
      </c>
      <c r="P121" s="48">
        <f>P60+P120</f>
        <v>0</v>
      </c>
      <c r="Q121" s="49" t="str">
        <f>A121</f>
        <v>Summe</v>
      </c>
      <c r="R121" s="46">
        <f>R60+R120</f>
        <v>0</v>
      </c>
      <c r="S121" s="47" t="str">
        <f>A121</f>
        <v>Summe</v>
      </c>
      <c r="T121" s="48">
        <f>T60+T120</f>
        <v>0</v>
      </c>
      <c r="U121" s="49" t="str">
        <f>A121</f>
        <v>Summe</v>
      </c>
      <c r="V121" s="46">
        <f>V60+V120</f>
        <v>0</v>
      </c>
      <c r="W121" s="47" t="str">
        <f>A121</f>
        <v>Summe</v>
      </c>
      <c r="X121" s="50">
        <f>X60+X120</f>
        <v>0</v>
      </c>
    </row>
    <row r="122" spans="1:24" ht="15" thickTop="1"/>
    <row r="128" spans="1:24" ht="15.6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</row>
    <row r="129" spans="1:11" ht="15.6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</row>
    <row r="130" spans="1:11" ht="15.6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</row>
    <row r="131" spans="1:11" ht="15.6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</row>
    <row r="132" spans="1:11" ht="15.6">
      <c r="F132" s="25" t="s">
        <v>7</v>
      </c>
      <c r="G132" s="26" t="s">
        <v>10</v>
      </c>
      <c r="H132" s="26" t="s">
        <v>9</v>
      </c>
      <c r="I132" s="26" t="s">
        <v>11</v>
      </c>
      <c r="J132" s="26" t="s">
        <v>12</v>
      </c>
      <c r="K132" s="24"/>
    </row>
    <row r="133" spans="1:11" ht="15.6">
      <c r="F133" s="1">
        <v>1</v>
      </c>
      <c r="G133" s="28">
        <f>$B$60</f>
        <v>0</v>
      </c>
      <c r="H133" s="28">
        <f>$B$120</f>
        <v>0</v>
      </c>
      <c r="I133" s="1">
        <f>H133+G133</f>
        <v>0</v>
      </c>
      <c r="J133" s="27">
        <f>AVERAGE(I138:I140)</f>
        <v>0</v>
      </c>
      <c r="K133" s="24"/>
    </row>
    <row r="134" spans="1:11" ht="15.6">
      <c r="F134" s="1">
        <v>2</v>
      </c>
      <c r="G134" s="28">
        <f>$D$60</f>
        <v>0</v>
      </c>
      <c r="H134" s="28">
        <f>$D$120</f>
        <v>0</v>
      </c>
      <c r="I134" s="1">
        <f t="shared" ref="I134:I144" si="0">H134+G134</f>
        <v>0</v>
      </c>
      <c r="J134" s="27">
        <f t="shared" ref="J134:J144" si="1">J133</f>
        <v>0</v>
      </c>
      <c r="K134" s="24"/>
    </row>
    <row r="135" spans="1:11" ht="15.6">
      <c r="F135" s="1">
        <v>3</v>
      </c>
      <c r="G135" s="28">
        <f>$F$60</f>
        <v>0</v>
      </c>
      <c r="H135" s="28">
        <f>$F$120</f>
        <v>0</v>
      </c>
      <c r="I135" s="1">
        <f t="shared" si="0"/>
        <v>0</v>
      </c>
      <c r="J135" s="27">
        <f t="shared" si="1"/>
        <v>0</v>
      </c>
      <c r="K135" s="24"/>
    </row>
    <row r="136" spans="1:11" ht="15.6">
      <c r="F136" s="1">
        <v>4</v>
      </c>
      <c r="G136" s="28">
        <f>$H$60</f>
        <v>0</v>
      </c>
      <c r="H136" s="28">
        <f>$H$120</f>
        <v>0</v>
      </c>
      <c r="I136" s="1">
        <f t="shared" si="0"/>
        <v>0</v>
      </c>
      <c r="J136" s="27">
        <f t="shared" si="1"/>
        <v>0</v>
      </c>
      <c r="K136" s="24"/>
    </row>
    <row r="137" spans="1:11" ht="15.6">
      <c r="F137" s="1">
        <v>5</v>
      </c>
      <c r="G137" s="28">
        <f>$J$60</f>
        <v>0</v>
      </c>
      <c r="H137" s="28">
        <f>$J$120</f>
        <v>0</v>
      </c>
      <c r="I137" s="1">
        <f t="shared" si="0"/>
        <v>0</v>
      </c>
      <c r="J137" s="27">
        <f t="shared" si="1"/>
        <v>0</v>
      </c>
      <c r="K137" s="24"/>
    </row>
    <row r="138" spans="1:11" ht="15.6">
      <c r="F138" s="1">
        <v>6</v>
      </c>
      <c r="G138" s="28">
        <f>$L$60</f>
        <v>0</v>
      </c>
      <c r="H138" s="28">
        <f>$L$120</f>
        <v>0</v>
      </c>
      <c r="I138" s="29">
        <f t="shared" si="0"/>
        <v>0</v>
      </c>
      <c r="J138" s="27">
        <f t="shared" si="1"/>
        <v>0</v>
      </c>
      <c r="K138" s="24"/>
    </row>
    <row r="139" spans="1:11" ht="15.6">
      <c r="F139" s="1">
        <v>7</v>
      </c>
      <c r="G139" s="28">
        <f>$N$60</f>
        <v>0</v>
      </c>
      <c r="H139" s="28">
        <f>$N$120</f>
        <v>0</v>
      </c>
      <c r="I139" s="30">
        <f t="shared" si="0"/>
        <v>0</v>
      </c>
      <c r="J139" s="27">
        <f t="shared" si="1"/>
        <v>0</v>
      </c>
      <c r="K139" s="24"/>
    </row>
    <row r="140" spans="1:11" ht="15.6">
      <c r="F140" s="1">
        <v>8</v>
      </c>
      <c r="G140" s="28">
        <f>$P$60</f>
        <v>0</v>
      </c>
      <c r="H140" s="28">
        <f>$P$120</f>
        <v>0</v>
      </c>
      <c r="I140" s="1">
        <f t="shared" si="0"/>
        <v>0</v>
      </c>
      <c r="J140" s="27">
        <f t="shared" si="1"/>
        <v>0</v>
      </c>
      <c r="K140" s="24"/>
    </row>
    <row r="141" spans="1:11" ht="15.6">
      <c r="F141" s="1">
        <v>9</v>
      </c>
      <c r="G141" s="28">
        <f>$R$60</f>
        <v>0</v>
      </c>
      <c r="H141" s="28">
        <f>$R$120</f>
        <v>0</v>
      </c>
      <c r="I141" s="1">
        <f t="shared" si="0"/>
        <v>0</v>
      </c>
      <c r="J141" s="27">
        <f t="shared" si="1"/>
        <v>0</v>
      </c>
      <c r="K141" s="24"/>
    </row>
    <row r="142" spans="1:11" ht="15.6">
      <c r="F142" s="1">
        <v>10</v>
      </c>
      <c r="G142" s="28">
        <f>$T$60</f>
        <v>0</v>
      </c>
      <c r="H142" s="28">
        <f>$T$120</f>
        <v>0</v>
      </c>
      <c r="I142" s="1">
        <f t="shared" si="0"/>
        <v>0</v>
      </c>
      <c r="J142" s="27">
        <f t="shared" si="1"/>
        <v>0</v>
      </c>
      <c r="K142" s="24"/>
    </row>
    <row r="143" spans="1:11" ht="15.6">
      <c r="F143" s="1">
        <v>11</v>
      </c>
      <c r="G143" s="28">
        <f>$V$60</f>
        <v>0</v>
      </c>
      <c r="H143" s="28">
        <f>$V$120</f>
        <v>0</v>
      </c>
      <c r="I143" s="1">
        <f t="shared" si="0"/>
        <v>0</v>
      </c>
      <c r="J143" s="27">
        <f t="shared" si="1"/>
        <v>0</v>
      </c>
      <c r="K143" s="24"/>
    </row>
    <row r="144" spans="1:11" ht="15.6">
      <c r="F144" s="1">
        <v>12</v>
      </c>
      <c r="G144" s="28">
        <f>$X$60</f>
        <v>0</v>
      </c>
      <c r="H144" s="28">
        <f>$X$120</f>
        <v>0</v>
      </c>
      <c r="I144" s="1">
        <f t="shared" si="0"/>
        <v>0</v>
      </c>
      <c r="J144" s="27">
        <f t="shared" si="1"/>
        <v>0</v>
      </c>
      <c r="K144" s="24"/>
    </row>
  </sheetData>
  <mergeCells count="14">
    <mergeCell ref="U10:V10"/>
    <mergeCell ref="W10:X10"/>
    <mergeCell ref="I10:J10"/>
    <mergeCell ref="K10:L10"/>
    <mergeCell ref="M10:N10"/>
    <mergeCell ref="O10:P10"/>
    <mergeCell ref="Q10:R10"/>
    <mergeCell ref="S10:T10"/>
    <mergeCell ref="G10:H10"/>
    <mergeCell ref="B2:C2"/>
    <mergeCell ref="B3:C3"/>
    <mergeCell ref="A10:B10"/>
    <mergeCell ref="C10:D10"/>
    <mergeCell ref="E10:F10"/>
  </mergeCells>
  <conditionalFormatting sqref="B2:B3">
    <cfRule type="cellIs" dxfId="95" priority="87" operator="lessThan">
      <formula>0</formula>
    </cfRule>
    <cfRule type="cellIs" dxfId="94" priority="88" operator="lessThan">
      <formula>0</formula>
    </cfRule>
  </conditionalFormatting>
  <conditionalFormatting sqref="B2:B3">
    <cfRule type="cellIs" dxfId="93" priority="86" operator="lessThan">
      <formula>0</formula>
    </cfRule>
  </conditionalFormatting>
  <conditionalFormatting sqref="B3">
    <cfRule type="cellIs" dxfId="92" priority="85" operator="greaterThan">
      <formula>0</formula>
    </cfRule>
  </conditionalFormatting>
  <conditionalFormatting sqref="B12:B119 D12:D119 F12:F119 H12:H119 J12:J119 L12:L119">
    <cfRule type="cellIs" dxfId="91" priority="43" operator="greaterThan">
      <formula>0</formula>
    </cfRule>
    <cfRule type="cellIs" dxfId="90" priority="44" operator="lessThan">
      <formula>0</formula>
    </cfRule>
  </conditionalFormatting>
  <conditionalFormatting sqref="B12:B119 D12:D119 F12:F119 H12:H119 J12:J119 L12:L119">
    <cfRule type="cellIs" dxfId="89" priority="42" operator="equal">
      <formula>0</formula>
    </cfRule>
  </conditionalFormatting>
  <conditionalFormatting sqref="F132:J144 K134:L144 K132:K133 A10:L131">
    <cfRule type="cellIs" dxfId="88" priority="40" operator="lessThan">
      <formula>0</formula>
    </cfRule>
    <cfRule type="cellIs" dxfId="87" priority="41" operator="lessThan">
      <formula>0</formula>
    </cfRule>
  </conditionalFormatting>
  <conditionalFormatting sqref="F132:J144 K134:L144 K132:K133 A10:L131">
    <cfRule type="cellIs" dxfId="86" priority="39" operator="lessThan">
      <formula>0</formula>
    </cfRule>
  </conditionalFormatting>
  <conditionalFormatting sqref="B12:B121 G133:J144 D12:D121 F12:F121 H12:H121 L12:L121 J12:J121">
    <cfRule type="cellIs" dxfId="85" priority="38" operator="greaterThan">
      <formula>0</formula>
    </cfRule>
  </conditionalFormatting>
  <conditionalFormatting sqref="N120">
    <cfRule type="cellIs" dxfId="84" priority="35" operator="greaterThan">
      <formula>0</formula>
    </cfRule>
    <cfRule type="cellIs" dxfId="83" priority="36" operator="greaterThan">
      <formula>1287.38</formula>
    </cfRule>
    <cfRule type="cellIs" dxfId="82" priority="37" operator="lessThan">
      <formula>0</formula>
    </cfRule>
  </conditionalFormatting>
  <conditionalFormatting sqref="P12:P119 R12:R119 T12:T119 V12:V119 X12:X119 N12:N119">
    <cfRule type="cellIs" dxfId="81" priority="33" operator="equal">
      <formula>0</formula>
    </cfRule>
    <cfRule type="cellIs" dxfId="80" priority="34" operator="greaterThan">
      <formula>0</formula>
    </cfRule>
  </conditionalFormatting>
  <conditionalFormatting sqref="M17:M21">
    <cfRule type="cellIs" dxfId="79" priority="32" operator="lessThan">
      <formula>0</formula>
    </cfRule>
  </conditionalFormatting>
  <conditionalFormatting sqref="M10:X121">
    <cfRule type="cellIs" dxfId="78" priority="30" operator="lessThan">
      <formula>0</formula>
    </cfRule>
    <cfRule type="cellIs" dxfId="77" priority="31" operator="lessThan">
      <formula>0</formula>
    </cfRule>
  </conditionalFormatting>
  <conditionalFormatting sqref="M10:X121">
    <cfRule type="cellIs" dxfId="76" priority="29" operator="lessThan">
      <formula>0</formula>
    </cfRule>
  </conditionalFormatting>
  <conditionalFormatting sqref="P12:P121 R12:R121 T12:T121 V12:V121 X12:X121 N12:N121">
    <cfRule type="cellIs" dxfId="75" priority="28" operator="greaterThan">
      <formula>0</formula>
    </cfRule>
  </conditionalFormatting>
  <conditionalFormatting sqref="G133:J144">
    <cfRule type="cellIs" dxfId="74" priority="27" operator="equal">
      <formula>0</formula>
    </cfRule>
  </conditionalFormatting>
  <conditionalFormatting sqref="B120 D120 F120 H120 L120 N120 P120 R120 T120 V120 X120">
    <cfRule type="cellIs" dxfId="73" priority="26" operator="equal">
      <formula>0</formula>
    </cfRule>
  </conditionalFormatting>
  <conditionalFormatting sqref="J120">
    <cfRule type="cellIs" dxfId="72" priority="25" operator="equal">
      <formula>0</formula>
    </cfRule>
  </conditionalFormatting>
  <conditionalFormatting sqref="N120">
    <cfRule type="cellIs" dxfId="71" priority="23" operator="lessThan">
      <formula>0</formula>
    </cfRule>
    <cfRule type="cellIs" dxfId="70" priority="24" operator="lessThan">
      <formula>0</formula>
    </cfRule>
  </conditionalFormatting>
  <conditionalFormatting sqref="N120">
    <cfRule type="cellIs" dxfId="69" priority="22" operator="lessThan">
      <formula>0</formula>
    </cfRule>
  </conditionalFormatting>
  <conditionalFormatting sqref="N120">
    <cfRule type="cellIs" dxfId="68" priority="21" operator="greaterThan">
      <formula>0</formula>
    </cfRule>
  </conditionalFormatting>
  <conditionalFormatting sqref="P120">
    <cfRule type="cellIs" dxfId="67" priority="19" operator="lessThan">
      <formula>0</formula>
    </cfRule>
    <cfRule type="cellIs" dxfId="66" priority="20" operator="lessThan">
      <formula>0</formula>
    </cfRule>
  </conditionalFormatting>
  <conditionalFormatting sqref="P120">
    <cfRule type="cellIs" dxfId="65" priority="18" operator="lessThan">
      <formula>0</formula>
    </cfRule>
  </conditionalFormatting>
  <conditionalFormatting sqref="P120">
    <cfRule type="cellIs" dxfId="64" priority="17" operator="greaterThan">
      <formula>0</formula>
    </cfRule>
  </conditionalFormatting>
  <conditionalFormatting sqref="R120">
    <cfRule type="cellIs" dxfId="63" priority="15" operator="lessThan">
      <formula>0</formula>
    </cfRule>
    <cfRule type="cellIs" dxfId="62" priority="16" operator="lessThan">
      <formula>0</formula>
    </cfRule>
  </conditionalFormatting>
  <conditionalFormatting sqref="R120">
    <cfRule type="cellIs" dxfId="61" priority="14" operator="lessThan">
      <formula>0</formula>
    </cfRule>
  </conditionalFormatting>
  <conditionalFormatting sqref="R120">
    <cfRule type="cellIs" dxfId="60" priority="13" operator="greaterThan">
      <formula>0</formula>
    </cfRule>
  </conditionalFormatting>
  <conditionalFormatting sqref="T120">
    <cfRule type="cellIs" dxfId="59" priority="11" operator="lessThan">
      <formula>0</formula>
    </cfRule>
    <cfRule type="cellIs" dxfId="58" priority="12" operator="lessThan">
      <formula>0</formula>
    </cfRule>
  </conditionalFormatting>
  <conditionalFormatting sqref="T120">
    <cfRule type="cellIs" dxfId="57" priority="10" operator="lessThan">
      <formula>0</formula>
    </cfRule>
  </conditionalFormatting>
  <conditionalFormatting sqref="T120">
    <cfRule type="cellIs" dxfId="56" priority="9" operator="greaterThan">
      <formula>0</formula>
    </cfRule>
  </conditionalFormatting>
  <conditionalFormatting sqref="V120">
    <cfRule type="cellIs" dxfId="55" priority="7" operator="lessThan">
      <formula>0</formula>
    </cfRule>
    <cfRule type="cellIs" dxfId="54" priority="8" operator="lessThan">
      <formula>0</formula>
    </cfRule>
  </conditionalFormatting>
  <conditionalFormatting sqref="V120">
    <cfRule type="cellIs" dxfId="53" priority="6" operator="lessThan">
      <formula>0</formula>
    </cfRule>
  </conditionalFormatting>
  <conditionalFormatting sqref="V120">
    <cfRule type="cellIs" dxfId="52" priority="5" operator="greaterThan">
      <formula>0</formula>
    </cfRule>
  </conditionalFormatting>
  <conditionalFormatting sqref="X120">
    <cfRule type="cellIs" dxfId="51" priority="3" operator="lessThan">
      <formula>0</formula>
    </cfRule>
    <cfRule type="cellIs" dxfId="50" priority="4" operator="lessThan">
      <formula>0</formula>
    </cfRule>
  </conditionalFormatting>
  <conditionalFormatting sqref="X120">
    <cfRule type="cellIs" dxfId="49" priority="2" operator="lessThan">
      <formula>0</formula>
    </cfRule>
  </conditionalFormatting>
  <conditionalFormatting sqref="X120">
    <cfRule type="cellIs" dxfId="48" priority="1" operator="greaterThan">
      <formula>0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alc_Sum">
                <anchor moveWithCells="1" sizeWithCells="1">
                  <from>
                    <xdr:col>5</xdr:col>
                    <xdr:colOff>228600</xdr:colOff>
                    <xdr:row>1</xdr:row>
                    <xdr:rowOff>30480</xdr:rowOff>
                  </from>
                  <to>
                    <xdr:col>8</xdr:col>
                    <xdr:colOff>381000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2BDF6-3D15-4984-A768-EE54CCB0D184}">
  <sheetPr codeName="Tabelle5">
    <tabColor theme="4" tint="-0.249977111117893"/>
  </sheetPr>
  <dimension ref="A1:X144"/>
  <sheetViews>
    <sheetView topLeftCell="A33" zoomScale="41" zoomScaleNormal="54" workbookViewId="0">
      <selection activeCell="M54" sqref="M54"/>
    </sheetView>
  </sheetViews>
  <sheetFormatPr baseColWidth="10" defaultRowHeight="14.4"/>
  <cols>
    <col min="1" max="1" width="11" bestFit="1" customWidth="1"/>
    <col min="2" max="2" width="17.77734375" bestFit="1" customWidth="1"/>
    <col min="3" max="3" width="11" bestFit="1" customWidth="1"/>
    <col min="4" max="4" width="17.77734375" bestFit="1" customWidth="1"/>
    <col min="5" max="5" width="10" bestFit="1" customWidth="1"/>
    <col min="6" max="6" width="17.77734375" bestFit="1" customWidth="1"/>
    <col min="7" max="7" width="12.88671875" bestFit="1" customWidth="1"/>
    <col min="8" max="8" width="17.77734375" bestFit="1" customWidth="1"/>
    <col min="9" max="9" width="11" bestFit="1" customWidth="1"/>
    <col min="10" max="10" width="17.77734375" bestFit="1" customWidth="1"/>
    <col min="11" max="11" width="11" bestFit="1" customWidth="1"/>
    <col min="12" max="12" width="17.77734375" bestFit="1" customWidth="1"/>
    <col min="13" max="13" width="11" bestFit="1" customWidth="1"/>
    <col min="14" max="14" width="17.77734375" bestFit="1" customWidth="1"/>
    <col min="15" max="15" width="11" bestFit="1" customWidth="1"/>
    <col min="16" max="16" width="17.77734375" bestFit="1" customWidth="1"/>
    <col min="17" max="17" width="11" bestFit="1" customWidth="1"/>
    <col min="18" max="18" width="17.77734375" bestFit="1" customWidth="1"/>
    <col min="19" max="19" width="11" bestFit="1" customWidth="1"/>
    <col min="20" max="20" width="17.77734375" bestFit="1" customWidth="1"/>
    <col min="21" max="21" width="11" bestFit="1" customWidth="1"/>
    <col min="22" max="22" width="17.77734375" bestFit="1" customWidth="1"/>
    <col min="23" max="23" width="11" bestFit="1" customWidth="1"/>
    <col min="24" max="24" width="17.77734375" bestFit="1" customWidth="1"/>
  </cols>
  <sheetData>
    <row r="1" spans="1:24" s="51" customFormat="1" ht="15" thickBot="1"/>
    <row r="2" spans="1:24" s="51" customFormat="1" ht="37.200000000000003" thickTop="1">
      <c r="B2" s="127" t="s">
        <v>15</v>
      </c>
      <c r="C2" s="128"/>
    </row>
    <row r="3" spans="1:24" s="51" customFormat="1" ht="37.200000000000003" thickBot="1">
      <c r="B3" s="129">
        <v>0</v>
      </c>
      <c r="C3" s="130"/>
    </row>
    <row r="4" spans="1:24" s="51" customFormat="1" ht="15" thickTop="1"/>
    <row r="5" spans="1:24" s="51" customFormat="1"/>
    <row r="6" spans="1:24" s="63" customFormat="1" ht="15" thickBot="1">
      <c r="J6" s="63" t="s">
        <v>23</v>
      </c>
    </row>
    <row r="7" spans="1:24" ht="15" thickTop="1"/>
    <row r="9" spans="1:24" ht="15" thickBot="1"/>
    <row r="10" spans="1:24" ht="27" thickTop="1" thickBot="1">
      <c r="A10" s="102">
        <v>1</v>
      </c>
      <c r="B10" s="103"/>
      <c r="C10" s="100">
        <v>2</v>
      </c>
      <c r="D10" s="101"/>
      <c r="E10" s="94">
        <v>3</v>
      </c>
      <c r="F10" s="94"/>
      <c r="G10" s="100">
        <v>4</v>
      </c>
      <c r="H10" s="101"/>
      <c r="I10" s="94">
        <v>5</v>
      </c>
      <c r="J10" s="94"/>
      <c r="K10" s="100">
        <v>6</v>
      </c>
      <c r="L10" s="101"/>
      <c r="M10" s="94">
        <v>7</v>
      </c>
      <c r="N10" s="94"/>
      <c r="O10" s="100">
        <v>8</v>
      </c>
      <c r="P10" s="101"/>
      <c r="Q10" s="94">
        <v>9</v>
      </c>
      <c r="R10" s="94"/>
      <c r="S10" s="100">
        <v>10</v>
      </c>
      <c r="T10" s="101"/>
      <c r="U10" s="94">
        <v>11</v>
      </c>
      <c r="V10" s="94"/>
      <c r="W10" s="94">
        <v>12</v>
      </c>
      <c r="X10" s="95"/>
    </row>
    <row r="11" spans="1:24" ht="16.8" thickTop="1" thickBot="1">
      <c r="A11" s="2" t="s">
        <v>1</v>
      </c>
      <c r="B11" s="3" t="s">
        <v>0</v>
      </c>
      <c r="C11" s="4" t="s">
        <v>1</v>
      </c>
      <c r="D11" s="5" t="s">
        <v>0</v>
      </c>
      <c r="E11" s="6" t="s">
        <v>1</v>
      </c>
      <c r="F11" s="3" t="s">
        <v>0</v>
      </c>
      <c r="G11" s="4" t="s">
        <v>1</v>
      </c>
      <c r="H11" s="5" t="s">
        <v>0</v>
      </c>
      <c r="I11" s="6" t="s">
        <v>1</v>
      </c>
      <c r="J11" s="3" t="s">
        <v>0</v>
      </c>
      <c r="K11" s="4" t="s">
        <v>1</v>
      </c>
      <c r="L11" s="5" t="s">
        <v>0</v>
      </c>
      <c r="M11" s="6" t="s">
        <v>1</v>
      </c>
      <c r="N11" s="3" t="s">
        <v>0</v>
      </c>
      <c r="O11" s="4" t="s">
        <v>1</v>
      </c>
      <c r="P11" s="5" t="s">
        <v>0</v>
      </c>
      <c r="Q11" s="6" t="s">
        <v>1</v>
      </c>
      <c r="R11" s="3" t="s">
        <v>0</v>
      </c>
      <c r="S11" s="4" t="s">
        <v>1</v>
      </c>
      <c r="T11" s="5" t="s">
        <v>0</v>
      </c>
      <c r="U11" s="6" t="s">
        <v>1</v>
      </c>
      <c r="V11" s="3" t="s">
        <v>0</v>
      </c>
      <c r="W11" s="4" t="s">
        <v>1</v>
      </c>
      <c r="X11" s="7" t="s">
        <v>0</v>
      </c>
    </row>
    <row r="12" spans="1:24" ht="15.6">
      <c r="A12" s="8"/>
      <c r="B12" s="9"/>
      <c r="C12" s="10"/>
      <c r="D12" s="11"/>
      <c r="E12" s="12"/>
      <c r="F12" s="9"/>
      <c r="G12" s="10"/>
      <c r="H12" s="11"/>
      <c r="I12" s="12"/>
      <c r="J12" s="9"/>
      <c r="K12" s="10"/>
      <c r="L12" s="11"/>
      <c r="M12" s="12"/>
      <c r="N12" s="9"/>
      <c r="O12" s="10"/>
      <c r="P12" s="11"/>
      <c r="Q12" s="12"/>
      <c r="R12" s="9"/>
      <c r="S12" s="10"/>
      <c r="T12" s="11"/>
      <c r="U12" s="12"/>
      <c r="V12" s="9"/>
      <c r="W12" s="10"/>
      <c r="X12" s="13"/>
    </row>
    <row r="13" spans="1:24" ht="15.6">
      <c r="A13" s="8"/>
      <c r="B13" s="9"/>
      <c r="C13" s="10"/>
      <c r="D13" s="11"/>
      <c r="E13" s="12"/>
      <c r="F13" s="9"/>
      <c r="G13" s="10"/>
      <c r="H13" s="11"/>
      <c r="I13" s="12"/>
      <c r="J13" s="9"/>
      <c r="K13" s="10"/>
      <c r="L13" s="11"/>
      <c r="M13" s="12"/>
      <c r="N13" s="9"/>
      <c r="O13" s="10"/>
      <c r="P13" s="11"/>
      <c r="Q13" s="12"/>
      <c r="R13" s="9"/>
      <c r="S13" s="10"/>
      <c r="T13" s="11"/>
      <c r="U13" s="12"/>
      <c r="V13" s="9"/>
      <c r="W13" s="10"/>
      <c r="X13" s="13"/>
    </row>
    <row r="14" spans="1:24" ht="15.6">
      <c r="A14" s="8"/>
      <c r="B14" s="9"/>
      <c r="C14" s="10"/>
      <c r="D14" s="14"/>
      <c r="E14" s="12"/>
      <c r="F14" s="15"/>
      <c r="G14" s="10"/>
      <c r="H14" s="14"/>
      <c r="I14" s="12"/>
      <c r="J14" s="15"/>
      <c r="K14" s="10"/>
      <c r="L14" s="11"/>
      <c r="M14" s="12"/>
      <c r="N14" s="15"/>
      <c r="O14" s="10"/>
      <c r="P14" s="14"/>
      <c r="Q14" s="12"/>
      <c r="R14" s="15"/>
      <c r="S14" s="10"/>
      <c r="T14" s="14"/>
      <c r="U14" s="12"/>
      <c r="V14" s="15"/>
      <c r="W14" s="10"/>
      <c r="X14" s="16"/>
    </row>
    <row r="15" spans="1:24" ht="15.6">
      <c r="A15" s="8"/>
      <c r="B15" s="9"/>
      <c r="C15" s="10"/>
      <c r="D15" s="11"/>
      <c r="E15" s="17"/>
      <c r="F15" s="9"/>
      <c r="G15" s="10"/>
      <c r="H15" s="11"/>
      <c r="I15" s="12"/>
      <c r="J15" s="9"/>
      <c r="K15" s="10"/>
      <c r="L15" s="11"/>
      <c r="M15" s="12"/>
      <c r="N15" s="9"/>
      <c r="O15" s="18"/>
      <c r="P15" s="11"/>
      <c r="Q15" s="12"/>
      <c r="R15" s="9"/>
      <c r="S15" s="10"/>
      <c r="T15" s="11"/>
      <c r="U15" s="12"/>
      <c r="V15" s="9"/>
      <c r="W15" s="10"/>
      <c r="X15" s="13"/>
    </row>
    <row r="16" spans="1:24" ht="15.6">
      <c r="A16" s="8"/>
      <c r="B16" s="9"/>
      <c r="C16" s="10"/>
      <c r="D16" s="11"/>
      <c r="E16" s="17"/>
      <c r="F16" s="9"/>
      <c r="G16" s="10"/>
      <c r="H16" s="11"/>
      <c r="I16" s="12"/>
      <c r="J16" s="9"/>
      <c r="K16" s="10"/>
      <c r="L16" s="11"/>
      <c r="M16" s="12"/>
      <c r="N16" s="9"/>
      <c r="O16" s="18"/>
      <c r="P16" s="11"/>
      <c r="Q16" s="12"/>
      <c r="R16" s="9"/>
      <c r="S16" s="10"/>
      <c r="T16" s="11"/>
      <c r="U16" s="12"/>
      <c r="V16" s="9"/>
      <c r="W16" s="10"/>
      <c r="X16" s="13"/>
    </row>
    <row r="17" spans="1:24" ht="15.6">
      <c r="A17" s="8"/>
      <c r="B17" s="9"/>
      <c r="C17" s="10"/>
      <c r="D17" s="11"/>
      <c r="E17" s="17"/>
      <c r="F17" s="9"/>
      <c r="G17" s="10"/>
      <c r="H17" s="11"/>
      <c r="I17" s="12"/>
      <c r="J17" s="9"/>
      <c r="K17" s="10"/>
      <c r="L17" s="11"/>
      <c r="M17" s="12"/>
      <c r="N17" s="9"/>
      <c r="O17" s="18"/>
      <c r="P17" s="11"/>
      <c r="Q17" s="12"/>
      <c r="R17" s="9"/>
      <c r="S17" s="10"/>
      <c r="T17" s="11"/>
      <c r="U17" s="12"/>
      <c r="V17" s="9"/>
      <c r="W17" s="10"/>
      <c r="X17" s="13"/>
    </row>
    <row r="18" spans="1:24" ht="15.6">
      <c r="A18" s="8"/>
      <c r="B18" s="9"/>
      <c r="C18" s="10"/>
      <c r="D18" s="11"/>
      <c r="E18" s="17"/>
      <c r="F18" s="9"/>
      <c r="G18" s="10"/>
      <c r="H18" s="11"/>
      <c r="I18" s="12"/>
      <c r="J18" s="9"/>
      <c r="K18" s="10"/>
      <c r="L18" s="11"/>
      <c r="M18" s="17"/>
      <c r="N18" s="9"/>
      <c r="O18" s="18"/>
      <c r="P18" s="11"/>
      <c r="Q18" s="12"/>
      <c r="R18" s="9"/>
      <c r="S18" s="10"/>
      <c r="T18" s="11"/>
      <c r="U18" s="12"/>
      <c r="V18" s="9"/>
      <c r="W18" s="10"/>
      <c r="X18" s="13"/>
    </row>
    <row r="19" spans="1:24" ht="15.6">
      <c r="A19" s="8"/>
      <c r="B19" s="9"/>
      <c r="C19" s="18"/>
      <c r="D19" s="11"/>
      <c r="E19" s="17"/>
      <c r="F19" s="9"/>
      <c r="G19" s="10"/>
      <c r="H19" s="11"/>
      <c r="I19" s="12"/>
      <c r="J19" s="9"/>
      <c r="K19" s="10"/>
      <c r="L19" s="11"/>
      <c r="M19" s="17"/>
      <c r="N19" s="9"/>
      <c r="O19" s="18"/>
      <c r="P19" s="11"/>
      <c r="Q19" s="12"/>
      <c r="R19" s="9"/>
      <c r="S19" s="10"/>
      <c r="T19" s="11"/>
      <c r="U19" s="12"/>
      <c r="V19" s="9"/>
      <c r="W19" s="10"/>
      <c r="X19" s="13"/>
    </row>
    <row r="20" spans="1:24" ht="15.6">
      <c r="A20" s="8"/>
      <c r="B20" s="9"/>
      <c r="C20" s="18"/>
      <c r="D20" s="11"/>
      <c r="E20" s="17"/>
      <c r="F20" s="19"/>
      <c r="G20" s="10"/>
      <c r="H20" s="11"/>
      <c r="I20" s="12"/>
      <c r="J20" s="9"/>
      <c r="K20" s="10"/>
      <c r="L20" s="11"/>
      <c r="M20" s="17"/>
      <c r="N20" s="9"/>
      <c r="O20" s="18"/>
      <c r="P20" s="11"/>
      <c r="Q20" s="12"/>
      <c r="R20" s="9"/>
      <c r="S20" s="10"/>
      <c r="T20" s="11"/>
      <c r="U20" s="12"/>
      <c r="V20" s="9"/>
      <c r="W20" s="10"/>
      <c r="X20" s="13"/>
    </row>
    <row r="21" spans="1:24" ht="15.6">
      <c r="A21" s="8"/>
      <c r="B21" s="9"/>
      <c r="C21" s="18"/>
      <c r="D21" s="20"/>
      <c r="E21" s="12"/>
      <c r="F21" s="9"/>
      <c r="G21" s="10"/>
      <c r="H21" s="11"/>
      <c r="I21" s="12"/>
      <c r="J21" s="9"/>
      <c r="K21" s="10"/>
      <c r="L21" s="11"/>
      <c r="M21" s="17"/>
      <c r="N21" s="9"/>
      <c r="O21" s="10"/>
      <c r="P21" s="11"/>
      <c r="Q21" s="12"/>
      <c r="R21" s="9"/>
      <c r="S21" s="10"/>
      <c r="T21" s="11"/>
      <c r="U21" s="12"/>
      <c r="V21" s="9"/>
      <c r="W21" s="10"/>
      <c r="X21" s="13"/>
    </row>
    <row r="22" spans="1:24" ht="15.6">
      <c r="A22" s="8"/>
      <c r="B22" s="9"/>
      <c r="C22" s="18"/>
      <c r="D22" s="11"/>
      <c r="E22" s="12"/>
      <c r="F22" s="9"/>
      <c r="G22" s="10"/>
      <c r="H22" s="11"/>
      <c r="I22" s="12"/>
      <c r="J22" s="9"/>
      <c r="K22" s="10"/>
      <c r="L22" s="11"/>
      <c r="M22" s="17"/>
      <c r="N22" s="9"/>
      <c r="O22" s="10"/>
      <c r="P22" s="11"/>
      <c r="Q22" s="12"/>
      <c r="R22" s="9"/>
      <c r="S22" s="10"/>
      <c r="T22" s="11"/>
      <c r="U22" s="12"/>
      <c r="V22" s="9"/>
      <c r="W22" s="10"/>
      <c r="X22" s="13"/>
    </row>
    <row r="23" spans="1:24" ht="15.6">
      <c r="A23" s="8"/>
      <c r="B23" s="9"/>
      <c r="C23" s="18"/>
      <c r="D23" s="11"/>
      <c r="E23" s="12"/>
      <c r="F23" s="9"/>
      <c r="G23" s="10"/>
      <c r="H23" s="11"/>
      <c r="I23" s="12"/>
      <c r="J23" s="9"/>
      <c r="K23" s="10"/>
      <c r="L23" s="11"/>
      <c r="M23" s="17"/>
      <c r="N23" s="9"/>
      <c r="O23" s="10"/>
      <c r="P23" s="11"/>
      <c r="Q23" s="12"/>
      <c r="R23" s="9"/>
      <c r="S23" s="10"/>
      <c r="T23" s="11"/>
      <c r="U23" s="12"/>
      <c r="V23" s="9"/>
      <c r="W23" s="10"/>
      <c r="X23" s="13"/>
    </row>
    <row r="24" spans="1:24" ht="15.6">
      <c r="A24" s="8"/>
      <c r="B24" s="9"/>
      <c r="C24" s="18"/>
      <c r="D24" s="11"/>
      <c r="E24" s="12"/>
      <c r="F24" s="9"/>
      <c r="G24" s="10"/>
      <c r="H24" s="11"/>
      <c r="I24" s="12"/>
      <c r="J24" s="9"/>
      <c r="K24" s="10"/>
      <c r="L24" s="11"/>
      <c r="M24" s="17"/>
      <c r="N24" s="9"/>
      <c r="O24" s="10"/>
      <c r="P24" s="11"/>
      <c r="Q24" s="12"/>
      <c r="R24" s="9"/>
      <c r="S24" s="10"/>
      <c r="T24" s="11"/>
      <c r="U24" s="12"/>
      <c r="V24" s="9"/>
      <c r="W24" s="10"/>
      <c r="X24" s="13"/>
    </row>
    <row r="25" spans="1:24" ht="15.6">
      <c r="A25" s="8"/>
      <c r="B25" s="9"/>
      <c r="C25" s="18"/>
      <c r="D25" s="11"/>
      <c r="E25" s="12"/>
      <c r="F25" s="9"/>
      <c r="G25" s="10"/>
      <c r="H25" s="11"/>
      <c r="I25" s="12"/>
      <c r="J25" s="9"/>
      <c r="K25" s="10"/>
      <c r="L25" s="11"/>
      <c r="M25" s="17"/>
      <c r="N25" s="9"/>
      <c r="O25" s="10"/>
      <c r="P25" s="11"/>
      <c r="Q25" s="12"/>
      <c r="R25" s="9"/>
      <c r="S25" s="10"/>
      <c r="T25" s="11"/>
      <c r="U25" s="12"/>
      <c r="V25" s="9"/>
      <c r="W25" s="10"/>
      <c r="X25" s="13"/>
    </row>
    <row r="26" spans="1:24" ht="15.6">
      <c r="A26" s="8"/>
      <c r="B26" s="9"/>
      <c r="C26" s="18"/>
      <c r="D26" s="11"/>
      <c r="E26" s="12"/>
      <c r="F26" s="9"/>
      <c r="G26" s="10"/>
      <c r="H26" s="11"/>
      <c r="I26" s="12"/>
      <c r="J26" s="9"/>
      <c r="K26" s="10"/>
      <c r="L26" s="11"/>
      <c r="M26" s="17"/>
      <c r="N26" s="9"/>
      <c r="O26" s="10"/>
      <c r="P26" s="11"/>
      <c r="Q26" s="12"/>
      <c r="R26" s="9"/>
      <c r="S26" s="10"/>
      <c r="T26" s="11"/>
      <c r="U26" s="12"/>
      <c r="V26" s="9"/>
      <c r="W26" s="10"/>
      <c r="X26" s="13"/>
    </row>
    <row r="27" spans="1:24" ht="15.6">
      <c r="A27" s="8"/>
      <c r="B27" s="9"/>
      <c r="C27" s="18"/>
      <c r="D27" s="11"/>
      <c r="E27" s="12"/>
      <c r="F27" s="9"/>
      <c r="G27" s="10"/>
      <c r="H27" s="11"/>
      <c r="I27" s="12"/>
      <c r="J27" s="9"/>
      <c r="K27" s="10"/>
      <c r="L27" s="11"/>
      <c r="M27" s="17"/>
      <c r="N27" s="9"/>
      <c r="O27" s="10"/>
      <c r="P27" s="11"/>
      <c r="Q27" s="12"/>
      <c r="R27" s="9"/>
      <c r="S27" s="10"/>
      <c r="T27" s="11"/>
      <c r="U27" s="12"/>
      <c r="V27" s="9"/>
      <c r="W27" s="10"/>
      <c r="X27" s="13"/>
    </row>
    <row r="28" spans="1:24" ht="15.6">
      <c r="A28" s="8"/>
      <c r="B28" s="9"/>
      <c r="C28" s="18"/>
      <c r="D28" s="11"/>
      <c r="E28" s="12"/>
      <c r="F28" s="9"/>
      <c r="G28" s="10"/>
      <c r="H28" s="11"/>
      <c r="I28" s="12"/>
      <c r="J28" s="9"/>
      <c r="K28" s="10"/>
      <c r="L28" s="11"/>
      <c r="M28" s="17"/>
      <c r="N28" s="9"/>
      <c r="O28" s="10"/>
      <c r="P28" s="11"/>
      <c r="Q28" s="12"/>
      <c r="R28" s="9"/>
      <c r="S28" s="10"/>
      <c r="T28" s="11"/>
      <c r="U28" s="12"/>
      <c r="V28" s="9"/>
      <c r="W28" s="10"/>
      <c r="X28" s="13"/>
    </row>
    <row r="29" spans="1:24" ht="15.6">
      <c r="A29" s="8"/>
      <c r="B29" s="9"/>
      <c r="C29" s="18"/>
      <c r="D29" s="11"/>
      <c r="E29" s="12"/>
      <c r="F29" s="9"/>
      <c r="G29" s="10"/>
      <c r="H29" s="11"/>
      <c r="I29" s="12"/>
      <c r="J29" s="9"/>
      <c r="K29" s="10"/>
      <c r="L29" s="11"/>
      <c r="M29" s="17"/>
      <c r="N29" s="9"/>
      <c r="O29" s="10"/>
      <c r="P29" s="11"/>
      <c r="Q29" s="12"/>
      <c r="R29" s="9"/>
      <c r="S29" s="10"/>
      <c r="T29" s="11"/>
      <c r="U29" s="12"/>
      <c r="V29" s="9"/>
      <c r="W29" s="10"/>
      <c r="X29" s="13"/>
    </row>
    <row r="30" spans="1:24" ht="15.6">
      <c r="A30" s="8"/>
      <c r="B30" s="9"/>
      <c r="C30" s="18"/>
      <c r="D30" s="11"/>
      <c r="E30" s="12"/>
      <c r="F30" s="9"/>
      <c r="G30" s="10"/>
      <c r="H30" s="11"/>
      <c r="I30" s="12"/>
      <c r="J30" s="9"/>
      <c r="K30" s="10"/>
      <c r="L30" s="11"/>
      <c r="M30" s="17"/>
      <c r="N30" s="9"/>
      <c r="O30" s="10"/>
      <c r="P30" s="11"/>
      <c r="Q30" s="12"/>
      <c r="R30" s="9"/>
      <c r="S30" s="10"/>
      <c r="T30" s="11"/>
      <c r="U30" s="12"/>
      <c r="V30" s="9"/>
      <c r="W30" s="10"/>
      <c r="X30" s="13"/>
    </row>
    <row r="31" spans="1:24" ht="15.6">
      <c r="A31" s="8"/>
      <c r="B31" s="9"/>
      <c r="C31" s="18"/>
      <c r="D31" s="11"/>
      <c r="E31" s="12"/>
      <c r="F31" s="9"/>
      <c r="G31" s="10"/>
      <c r="H31" s="11"/>
      <c r="I31" s="12"/>
      <c r="J31" s="9"/>
      <c r="K31" s="10"/>
      <c r="L31" s="11"/>
      <c r="M31" s="17"/>
      <c r="N31" s="9"/>
      <c r="O31" s="10"/>
      <c r="P31" s="11"/>
      <c r="Q31" s="12"/>
      <c r="R31" s="9"/>
      <c r="S31" s="10"/>
      <c r="T31" s="11"/>
      <c r="U31" s="12"/>
      <c r="V31" s="9"/>
      <c r="W31" s="10"/>
      <c r="X31" s="13"/>
    </row>
    <row r="32" spans="1:24" ht="15.6">
      <c r="A32" s="8"/>
      <c r="B32" s="9"/>
      <c r="C32" s="18"/>
      <c r="D32" s="11"/>
      <c r="E32" s="12"/>
      <c r="F32" s="9"/>
      <c r="G32" s="10"/>
      <c r="H32" s="11"/>
      <c r="I32" s="12"/>
      <c r="J32" s="9"/>
      <c r="K32" s="10"/>
      <c r="L32" s="11"/>
      <c r="M32" s="17"/>
      <c r="N32" s="9"/>
      <c r="O32" s="10"/>
      <c r="P32" s="11"/>
      <c r="Q32" s="12"/>
      <c r="R32" s="9"/>
      <c r="S32" s="10"/>
      <c r="T32" s="11"/>
      <c r="U32" s="12"/>
      <c r="V32" s="9"/>
      <c r="W32" s="10"/>
      <c r="X32" s="13"/>
    </row>
    <row r="33" spans="1:24" ht="15.6">
      <c r="A33" s="8"/>
      <c r="B33" s="9"/>
      <c r="C33" s="18"/>
      <c r="D33" s="11"/>
      <c r="E33" s="12"/>
      <c r="F33" s="9"/>
      <c r="G33" s="10"/>
      <c r="H33" s="11"/>
      <c r="I33" s="12"/>
      <c r="J33" s="9"/>
      <c r="K33" s="10"/>
      <c r="L33" s="11"/>
      <c r="M33" s="17"/>
      <c r="N33" s="9"/>
      <c r="O33" s="10"/>
      <c r="P33" s="11"/>
      <c r="Q33" s="12"/>
      <c r="R33" s="9"/>
      <c r="S33" s="10"/>
      <c r="T33" s="11"/>
      <c r="U33" s="12"/>
      <c r="V33" s="9"/>
      <c r="W33" s="10"/>
      <c r="X33" s="13"/>
    </row>
    <row r="34" spans="1:24" ht="15.6">
      <c r="A34" s="8"/>
      <c r="B34" s="9"/>
      <c r="C34" s="18"/>
      <c r="D34" s="11"/>
      <c r="E34" s="12"/>
      <c r="F34" s="9"/>
      <c r="G34" s="10"/>
      <c r="H34" s="11"/>
      <c r="I34" s="12"/>
      <c r="J34" s="9"/>
      <c r="K34" s="10"/>
      <c r="L34" s="11"/>
      <c r="M34" s="17"/>
      <c r="N34" s="9"/>
      <c r="O34" s="10"/>
      <c r="P34" s="11"/>
      <c r="Q34" s="12"/>
      <c r="R34" s="9"/>
      <c r="S34" s="10"/>
      <c r="T34" s="11"/>
      <c r="U34" s="12"/>
      <c r="V34" s="9"/>
      <c r="W34" s="10"/>
      <c r="X34" s="13"/>
    </row>
    <row r="35" spans="1:24" ht="15.6">
      <c r="A35" s="8"/>
      <c r="B35" s="9"/>
      <c r="C35" s="18"/>
      <c r="D35" s="11"/>
      <c r="E35" s="12"/>
      <c r="F35" s="9"/>
      <c r="G35" s="10"/>
      <c r="H35" s="11"/>
      <c r="I35" s="12"/>
      <c r="J35" s="9"/>
      <c r="K35" s="10"/>
      <c r="L35" s="11"/>
      <c r="M35" s="17"/>
      <c r="N35" s="9"/>
      <c r="O35" s="10"/>
      <c r="P35" s="11"/>
      <c r="Q35" s="12"/>
      <c r="R35" s="9"/>
      <c r="S35" s="10"/>
      <c r="T35" s="11"/>
      <c r="U35" s="12"/>
      <c r="V35" s="9"/>
      <c r="W35" s="10"/>
      <c r="X35" s="13"/>
    </row>
    <row r="36" spans="1:24" ht="15.6">
      <c r="A36" s="8"/>
      <c r="B36" s="9"/>
      <c r="C36" s="18"/>
      <c r="D36" s="11"/>
      <c r="E36" s="12"/>
      <c r="F36" s="9"/>
      <c r="G36" s="10"/>
      <c r="H36" s="11"/>
      <c r="I36" s="12"/>
      <c r="J36" s="9"/>
      <c r="K36" s="10"/>
      <c r="L36" s="11"/>
      <c r="M36" s="17"/>
      <c r="N36" s="9"/>
      <c r="O36" s="10"/>
      <c r="P36" s="11"/>
      <c r="Q36" s="12"/>
      <c r="R36" s="9"/>
      <c r="S36" s="10"/>
      <c r="T36" s="11"/>
      <c r="U36" s="12"/>
      <c r="V36" s="9"/>
      <c r="W36" s="10"/>
      <c r="X36" s="13"/>
    </row>
    <row r="37" spans="1:24" ht="15.6">
      <c r="A37" s="8"/>
      <c r="B37" s="9"/>
      <c r="C37" s="18"/>
      <c r="D37" s="11"/>
      <c r="E37" s="12"/>
      <c r="F37" s="9"/>
      <c r="G37" s="10"/>
      <c r="H37" s="11"/>
      <c r="I37" s="12"/>
      <c r="J37" s="9"/>
      <c r="K37" s="10"/>
      <c r="L37" s="11"/>
      <c r="M37" s="17"/>
      <c r="N37" s="9"/>
      <c r="O37" s="10"/>
      <c r="P37" s="11"/>
      <c r="Q37" s="12"/>
      <c r="R37" s="9"/>
      <c r="S37" s="10"/>
      <c r="T37" s="11"/>
      <c r="U37" s="12"/>
      <c r="V37" s="9"/>
      <c r="W37" s="10"/>
      <c r="X37" s="13"/>
    </row>
    <row r="38" spans="1:24" ht="15.6">
      <c r="A38" s="8"/>
      <c r="B38" s="9"/>
      <c r="C38" s="18"/>
      <c r="D38" s="11"/>
      <c r="E38" s="12"/>
      <c r="F38" s="9"/>
      <c r="G38" s="10"/>
      <c r="H38" s="11"/>
      <c r="I38" s="12"/>
      <c r="J38" s="9"/>
      <c r="K38" s="10"/>
      <c r="L38" s="11"/>
      <c r="M38" s="17"/>
      <c r="N38" s="9"/>
      <c r="O38" s="10"/>
      <c r="P38" s="11"/>
      <c r="Q38" s="12"/>
      <c r="R38" s="9"/>
      <c r="S38" s="10"/>
      <c r="T38" s="11"/>
      <c r="U38" s="12"/>
      <c r="V38" s="9"/>
      <c r="W38" s="10"/>
      <c r="X38" s="13"/>
    </row>
    <row r="39" spans="1:24" ht="15.6">
      <c r="A39" s="8"/>
      <c r="B39" s="9"/>
      <c r="C39" s="18"/>
      <c r="D39" s="11"/>
      <c r="E39" s="12"/>
      <c r="F39" s="9"/>
      <c r="G39" s="10"/>
      <c r="H39" s="11"/>
      <c r="I39" s="12"/>
      <c r="J39" s="9"/>
      <c r="K39" s="10"/>
      <c r="L39" s="11"/>
      <c r="M39" s="17"/>
      <c r="N39" s="9"/>
      <c r="O39" s="10"/>
      <c r="P39" s="11"/>
      <c r="Q39" s="12"/>
      <c r="R39" s="9"/>
      <c r="S39" s="10"/>
      <c r="T39" s="11"/>
      <c r="U39" s="12"/>
      <c r="V39" s="9"/>
      <c r="W39" s="10"/>
      <c r="X39" s="13"/>
    </row>
    <row r="40" spans="1:24" ht="15.6">
      <c r="A40" s="8"/>
      <c r="B40" s="9"/>
      <c r="C40" s="18"/>
      <c r="D40" s="11"/>
      <c r="E40" s="12"/>
      <c r="F40" s="9"/>
      <c r="G40" s="10"/>
      <c r="H40" s="11"/>
      <c r="I40" s="12"/>
      <c r="J40" s="9"/>
      <c r="K40" s="10"/>
      <c r="L40" s="11"/>
      <c r="M40" s="17"/>
      <c r="N40" s="9"/>
      <c r="O40" s="10"/>
      <c r="P40" s="11"/>
      <c r="Q40" s="12"/>
      <c r="R40" s="9"/>
      <c r="S40" s="10"/>
      <c r="T40" s="11"/>
      <c r="U40" s="12"/>
      <c r="V40" s="9"/>
      <c r="W40" s="10"/>
      <c r="X40" s="13"/>
    </row>
    <row r="41" spans="1:24" ht="15.6">
      <c r="A41" s="8"/>
      <c r="B41" s="9"/>
      <c r="C41" s="18"/>
      <c r="D41" s="11"/>
      <c r="E41" s="12"/>
      <c r="F41" s="9"/>
      <c r="G41" s="10"/>
      <c r="H41" s="11"/>
      <c r="I41" s="12"/>
      <c r="J41" s="9"/>
      <c r="K41" s="10"/>
      <c r="L41" s="11"/>
      <c r="M41" s="17"/>
      <c r="N41" s="9"/>
      <c r="O41" s="10"/>
      <c r="P41" s="11"/>
      <c r="Q41" s="12"/>
      <c r="R41" s="9"/>
      <c r="S41" s="10"/>
      <c r="T41" s="11"/>
      <c r="U41" s="12"/>
      <c r="V41" s="9"/>
      <c r="W41" s="10"/>
      <c r="X41" s="13"/>
    </row>
    <row r="42" spans="1:24" ht="15.6">
      <c r="A42" s="8"/>
      <c r="B42" s="9"/>
      <c r="C42" s="18"/>
      <c r="D42" s="11"/>
      <c r="E42" s="12"/>
      <c r="F42" s="9"/>
      <c r="G42" s="10"/>
      <c r="H42" s="11"/>
      <c r="I42" s="12"/>
      <c r="J42" s="9"/>
      <c r="K42" s="10"/>
      <c r="L42" s="11"/>
      <c r="M42" s="17"/>
      <c r="N42" s="9"/>
      <c r="O42" s="10"/>
      <c r="P42" s="11"/>
      <c r="Q42" s="12"/>
      <c r="R42" s="9"/>
      <c r="S42" s="10"/>
      <c r="T42" s="11"/>
      <c r="U42" s="12"/>
      <c r="V42" s="9"/>
      <c r="W42" s="10"/>
      <c r="X42" s="13"/>
    </row>
    <row r="43" spans="1:24" ht="15.6">
      <c r="A43" s="8"/>
      <c r="B43" s="9"/>
      <c r="C43" s="18"/>
      <c r="D43" s="11"/>
      <c r="E43" s="12"/>
      <c r="F43" s="9"/>
      <c r="G43" s="10"/>
      <c r="H43" s="11"/>
      <c r="I43" s="12"/>
      <c r="J43" s="9"/>
      <c r="K43" s="10"/>
      <c r="L43" s="11"/>
      <c r="M43" s="17"/>
      <c r="N43" s="9"/>
      <c r="O43" s="10"/>
      <c r="P43" s="11"/>
      <c r="Q43" s="12"/>
      <c r="R43" s="9"/>
      <c r="S43" s="10"/>
      <c r="T43" s="11"/>
      <c r="U43" s="12"/>
      <c r="V43" s="9"/>
      <c r="W43" s="10"/>
      <c r="X43" s="13"/>
    </row>
    <row r="44" spans="1:24" ht="15.6">
      <c r="A44" s="8"/>
      <c r="B44" s="9"/>
      <c r="C44" s="18"/>
      <c r="D44" s="11"/>
      <c r="E44" s="12"/>
      <c r="F44" s="9"/>
      <c r="G44" s="10"/>
      <c r="H44" s="11"/>
      <c r="I44" s="12"/>
      <c r="J44" s="9"/>
      <c r="K44" s="10"/>
      <c r="L44" s="11"/>
      <c r="M44" s="17"/>
      <c r="N44" s="9"/>
      <c r="O44" s="10"/>
      <c r="P44" s="11"/>
      <c r="Q44" s="12"/>
      <c r="R44" s="9"/>
      <c r="S44" s="10"/>
      <c r="T44" s="11"/>
      <c r="U44" s="12"/>
      <c r="V44" s="9"/>
      <c r="W44" s="10"/>
      <c r="X44" s="13"/>
    </row>
    <row r="45" spans="1:24" ht="15.6">
      <c r="A45" s="8"/>
      <c r="B45" s="9"/>
      <c r="C45" s="18"/>
      <c r="D45" s="11"/>
      <c r="E45" s="12"/>
      <c r="F45" s="9"/>
      <c r="G45" s="10"/>
      <c r="H45" s="11"/>
      <c r="I45" s="12"/>
      <c r="J45" s="9"/>
      <c r="K45" s="10"/>
      <c r="L45" s="11"/>
      <c r="M45" s="17"/>
      <c r="N45" s="9"/>
      <c r="O45" s="10"/>
      <c r="P45" s="11"/>
      <c r="Q45" s="12"/>
      <c r="R45" s="9"/>
      <c r="S45" s="10"/>
      <c r="T45" s="11"/>
      <c r="U45" s="12"/>
      <c r="V45" s="9"/>
      <c r="W45" s="10"/>
      <c r="X45" s="13"/>
    </row>
    <row r="46" spans="1:24" ht="15.6">
      <c r="A46" s="8"/>
      <c r="B46" s="9"/>
      <c r="C46" s="18"/>
      <c r="D46" s="11"/>
      <c r="E46" s="12"/>
      <c r="F46" s="9"/>
      <c r="G46" s="10"/>
      <c r="H46" s="11"/>
      <c r="I46" s="12"/>
      <c r="J46" s="9"/>
      <c r="K46" s="10"/>
      <c r="L46" s="11"/>
      <c r="M46" s="17"/>
      <c r="N46" s="9"/>
      <c r="O46" s="10"/>
      <c r="P46" s="11"/>
      <c r="Q46" s="12"/>
      <c r="R46" s="9"/>
      <c r="S46" s="10"/>
      <c r="T46" s="11"/>
      <c r="U46" s="12"/>
      <c r="V46" s="9"/>
      <c r="W46" s="10"/>
      <c r="X46" s="13"/>
    </row>
    <row r="47" spans="1:24" ht="15.6">
      <c r="A47" s="8"/>
      <c r="B47" s="9"/>
      <c r="C47" s="18"/>
      <c r="D47" s="11"/>
      <c r="E47" s="12"/>
      <c r="F47" s="9"/>
      <c r="G47" s="10"/>
      <c r="H47" s="11"/>
      <c r="I47" s="12"/>
      <c r="J47" s="9"/>
      <c r="K47" s="10"/>
      <c r="L47" s="11"/>
      <c r="M47" s="17"/>
      <c r="N47" s="9"/>
      <c r="O47" s="10"/>
      <c r="P47" s="11"/>
      <c r="Q47" s="12"/>
      <c r="R47" s="9"/>
      <c r="S47" s="10"/>
      <c r="T47" s="11"/>
      <c r="U47" s="12"/>
      <c r="V47" s="9"/>
      <c r="W47" s="10"/>
      <c r="X47" s="13"/>
    </row>
    <row r="48" spans="1:24" ht="15.6">
      <c r="A48" s="8"/>
      <c r="B48" s="9"/>
      <c r="C48" s="18"/>
      <c r="D48" s="11"/>
      <c r="E48" s="12"/>
      <c r="F48" s="9"/>
      <c r="G48" s="10"/>
      <c r="H48" s="11"/>
      <c r="I48" s="12"/>
      <c r="J48" s="9"/>
      <c r="K48" s="10"/>
      <c r="L48" s="11"/>
      <c r="M48" s="17"/>
      <c r="N48" s="9"/>
      <c r="O48" s="10"/>
      <c r="P48" s="11"/>
      <c r="Q48" s="12"/>
      <c r="R48" s="9"/>
      <c r="S48" s="10"/>
      <c r="T48" s="11"/>
      <c r="U48" s="12"/>
      <c r="V48" s="9"/>
      <c r="W48" s="10"/>
      <c r="X48" s="13"/>
    </row>
    <row r="49" spans="1:24" ht="15.6">
      <c r="A49" s="8"/>
      <c r="B49" s="9"/>
      <c r="C49" s="18"/>
      <c r="D49" s="11"/>
      <c r="E49" s="12"/>
      <c r="F49" s="9"/>
      <c r="G49" s="10"/>
      <c r="H49" s="11"/>
      <c r="I49" s="12"/>
      <c r="J49" s="9"/>
      <c r="K49" s="10"/>
      <c r="L49" s="11"/>
      <c r="M49" s="17"/>
      <c r="N49" s="9"/>
      <c r="O49" s="10"/>
      <c r="P49" s="11"/>
      <c r="Q49" s="12"/>
      <c r="R49" s="9"/>
      <c r="S49" s="10"/>
      <c r="T49" s="11"/>
      <c r="U49" s="12"/>
      <c r="V49" s="9"/>
      <c r="W49" s="10"/>
      <c r="X49" s="13"/>
    </row>
    <row r="50" spans="1:24" ht="15.6">
      <c r="A50" s="8"/>
      <c r="B50" s="9"/>
      <c r="C50" s="18"/>
      <c r="D50" s="11"/>
      <c r="E50" s="12"/>
      <c r="F50" s="9"/>
      <c r="G50" s="10"/>
      <c r="H50" s="11"/>
      <c r="I50" s="12"/>
      <c r="J50" s="9"/>
      <c r="K50" s="10"/>
      <c r="L50" s="11"/>
      <c r="M50" s="17"/>
      <c r="N50" s="9"/>
      <c r="O50" s="10"/>
      <c r="P50" s="11"/>
      <c r="Q50" s="12"/>
      <c r="R50" s="9"/>
      <c r="S50" s="10"/>
      <c r="T50" s="11"/>
      <c r="U50" s="12"/>
      <c r="V50" s="9"/>
      <c r="W50" s="10"/>
      <c r="X50" s="13"/>
    </row>
    <row r="51" spans="1:24" ht="15.6">
      <c r="A51" s="8"/>
      <c r="B51" s="9"/>
      <c r="C51" s="18"/>
      <c r="D51" s="11"/>
      <c r="E51" s="12"/>
      <c r="F51" s="9"/>
      <c r="G51" s="10"/>
      <c r="H51" s="11"/>
      <c r="I51" s="12"/>
      <c r="J51" s="9"/>
      <c r="K51" s="10"/>
      <c r="L51" s="11"/>
      <c r="M51" s="17"/>
      <c r="N51" s="9"/>
      <c r="O51" s="10"/>
      <c r="P51" s="11"/>
      <c r="Q51" s="12"/>
      <c r="R51" s="9"/>
      <c r="S51" s="10"/>
      <c r="T51" s="11"/>
      <c r="U51" s="12"/>
      <c r="V51" s="9"/>
      <c r="W51" s="10"/>
      <c r="X51" s="13"/>
    </row>
    <row r="52" spans="1:24" ht="15.6">
      <c r="A52" s="8"/>
      <c r="B52" s="9"/>
      <c r="C52" s="18"/>
      <c r="D52" s="11"/>
      <c r="E52" s="12"/>
      <c r="F52" s="9"/>
      <c r="G52" s="10"/>
      <c r="H52" s="11"/>
      <c r="I52" s="12"/>
      <c r="J52" s="9"/>
      <c r="K52" s="10"/>
      <c r="L52" s="11"/>
      <c r="M52" s="17"/>
      <c r="N52" s="9"/>
      <c r="O52" s="10"/>
      <c r="P52" s="11"/>
      <c r="Q52" s="12"/>
      <c r="R52" s="9"/>
      <c r="S52" s="10"/>
      <c r="T52" s="11"/>
      <c r="U52" s="12"/>
      <c r="V52" s="9"/>
      <c r="W52" s="10"/>
      <c r="X52" s="13"/>
    </row>
    <row r="53" spans="1:24" ht="15.6">
      <c r="A53" s="8"/>
      <c r="B53" s="9"/>
      <c r="C53" s="18"/>
      <c r="D53" s="11"/>
      <c r="E53" s="12"/>
      <c r="F53" s="9"/>
      <c r="G53" s="10"/>
      <c r="H53" s="11"/>
      <c r="I53" s="12"/>
      <c r="J53" s="9"/>
      <c r="K53" s="10"/>
      <c r="L53" s="11"/>
      <c r="M53" s="17"/>
      <c r="N53" s="9"/>
      <c r="O53" s="10"/>
      <c r="P53" s="11"/>
      <c r="Q53" s="12"/>
      <c r="R53" s="9"/>
      <c r="S53" s="10"/>
      <c r="T53" s="11"/>
      <c r="U53" s="12"/>
      <c r="V53" s="9"/>
      <c r="W53" s="10"/>
      <c r="X53" s="13"/>
    </row>
    <row r="54" spans="1:24" ht="15.6">
      <c r="A54" s="8"/>
      <c r="B54" s="9"/>
      <c r="C54" s="18"/>
      <c r="D54" s="11"/>
      <c r="E54" s="12"/>
      <c r="F54" s="9"/>
      <c r="G54" s="10"/>
      <c r="H54" s="11"/>
      <c r="I54" s="12"/>
      <c r="J54" s="9"/>
      <c r="K54" s="10"/>
      <c r="L54" s="11"/>
      <c r="M54" s="17"/>
      <c r="N54" s="9"/>
      <c r="O54" s="10"/>
      <c r="P54" s="11"/>
      <c r="Q54" s="12"/>
      <c r="R54" s="9"/>
      <c r="S54" s="10"/>
      <c r="T54" s="11"/>
      <c r="U54" s="12"/>
      <c r="V54" s="9"/>
      <c r="W54" s="10"/>
      <c r="X54" s="13"/>
    </row>
    <row r="55" spans="1:24" ht="15.6">
      <c r="A55" s="8"/>
      <c r="B55" s="9"/>
      <c r="C55" s="18"/>
      <c r="D55" s="11"/>
      <c r="E55" s="12"/>
      <c r="F55" s="9"/>
      <c r="G55" s="10"/>
      <c r="H55" s="11"/>
      <c r="I55" s="12"/>
      <c r="J55" s="9"/>
      <c r="K55" s="10"/>
      <c r="L55" s="11"/>
      <c r="M55" s="17"/>
      <c r="N55" s="9"/>
      <c r="O55" s="10"/>
      <c r="P55" s="11"/>
      <c r="Q55" s="12"/>
      <c r="R55" s="9"/>
      <c r="S55" s="10"/>
      <c r="T55" s="11"/>
      <c r="U55" s="12"/>
      <c r="V55" s="9"/>
      <c r="W55" s="10"/>
      <c r="X55" s="13"/>
    </row>
    <row r="56" spans="1:24" ht="15.6">
      <c r="A56" s="8"/>
      <c r="B56" s="9"/>
      <c r="C56" s="18"/>
      <c r="D56" s="11"/>
      <c r="E56" s="12"/>
      <c r="F56" s="9"/>
      <c r="G56" s="10"/>
      <c r="H56" s="11"/>
      <c r="I56" s="12"/>
      <c r="J56" s="9"/>
      <c r="K56" s="10"/>
      <c r="L56" s="11"/>
      <c r="M56" s="17"/>
      <c r="N56" s="9"/>
      <c r="O56" s="10"/>
      <c r="P56" s="11"/>
      <c r="Q56" s="12"/>
      <c r="R56" s="9"/>
      <c r="S56" s="10"/>
      <c r="T56" s="11"/>
      <c r="U56" s="12"/>
      <c r="V56" s="9"/>
      <c r="W56" s="10"/>
      <c r="X56" s="13"/>
    </row>
    <row r="57" spans="1:24" ht="15.6">
      <c r="A57" s="8"/>
      <c r="B57" s="9"/>
      <c r="C57" s="18"/>
      <c r="D57" s="11"/>
      <c r="E57" s="12"/>
      <c r="F57" s="9"/>
      <c r="G57" s="10"/>
      <c r="H57" s="11"/>
      <c r="I57" s="12"/>
      <c r="J57" s="9"/>
      <c r="K57" s="10"/>
      <c r="L57" s="11"/>
      <c r="M57" s="17"/>
      <c r="N57" s="9"/>
      <c r="O57" s="10"/>
      <c r="P57" s="11"/>
      <c r="Q57" s="12"/>
      <c r="R57" s="9"/>
      <c r="S57" s="10"/>
      <c r="T57" s="11"/>
      <c r="U57" s="12"/>
      <c r="V57" s="9"/>
      <c r="W57" s="10"/>
      <c r="X57" s="13"/>
    </row>
    <row r="58" spans="1:24" ht="15.6">
      <c r="A58" s="8"/>
      <c r="B58" s="9"/>
      <c r="C58" s="18"/>
      <c r="D58" s="11"/>
      <c r="E58" s="12"/>
      <c r="F58" s="9"/>
      <c r="G58" s="10"/>
      <c r="H58" s="11"/>
      <c r="I58" s="12"/>
      <c r="J58" s="9"/>
      <c r="K58" s="10"/>
      <c r="L58" s="11"/>
      <c r="M58" s="17"/>
      <c r="N58" s="9"/>
      <c r="O58" s="10"/>
      <c r="P58" s="11"/>
      <c r="Q58" s="12"/>
      <c r="R58" s="9"/>
      <c r="S58" s="10"/>
      <c r="T58" s="11"/>
      <c r="U58" s="12"/>
      <c r="V58" s="9"/>
      <c r="W58" s="10"/>
      <c r="X58" s="13"/>
    </row>
    <row r="59" spans="1:24" ht="15.6">
      <c r="A59" s="8"/>
      <c r="B59" s="9"/>
      <c r="C59" s="10"/>
      <c r="D59" s="11"/>
      <c r="E59" s="12"/>
      <c r="F59" s="9"/>
      <c r="G59" s="10"/>
      <c r="H59" s="11"/>
      <c r="I59" s="12"/>
      <c r="J59" s="9"/>
      <c r="K59" s="10"/>
      <c r="L59" s="11"/>
      <c r="M59" s="12"/>
      <c r="N59" s="9"/>
      <c r="O59" s="10"/>
      <c r="P59" s="11"/>
      <c r="Q59" s="12"/>
      <c r="R59" s="9"/>
      <c r="S59" s="10"/>
      <c r="T59" s="11"/>
      <c r="U59" s="12"/>
      <c r="V59" s="9"/>
      <c r="W59" s="10"/>
      <c r="X59" s="13"/>
    </row>
    <row r="60" spans="1:24" ht="16.2" thickBot="1">
      <c r="A60" s="31" t="s">
        <v>16</v>
      </c>
      <c r="B60" s="32">
        <f>SUM(B12:B59)</f>
        <v>0</v>
      </c>
      <c r="C60" s="33" t="str">
        <f>A60</f>
        <v>Summe -</v>
      </c>
      <c r="D60" s="34">
        <f>SUM(D12:D59)</f>
        <v>0</v>
      </c>
      <c r="E60" s="35" t="str">
        <f>A60</f>
        <v>Summe -</v>
      </c>
      <c r="F60" s="32">
        <f>SUM(F12:F59)</f>
        <v>0</v>
      </c>
      <c r="G60" s="33" t="str">
        <f>A60</f>
        <v>Summe -</v>
      </c>
      <c r="H60" s="34">
        <f>SUM(H12:H59)</f>
        <v>0</v>
      </c>
      <c r="I60" s="35" t="str">
        <f>A60</f>
        <v>Summe -</v>
      </c>
      <c r="J60" s="32">
        <f>SUM(J12:J59)</f>
        <v>0</v>
      </c>
      <c r="K60" s="33" t="str">
        <f>A60</f>
        <v>Summe -</v>
      </c>
      <c r="L60" s="34">
        <f>SUM(L12:L59)</f>
        <v>0</v>
      </c>
      <c r="M60" s="35" t="str">
        <f>A60</f>
        <v>Summe -</v>
      </c>
      <c r="N60" s="32">
        <f>SUM(N12:N59)</f>
        <v>0</v>
      </c>
      <c r="O60" s="33" t="str">
        <f>A60</f>
        <v>Summe -</v>
      </c>
      <c r="P60" s="34">
        <f>SUM(P12:P59)</f>
        <v>0</v>
      </c>
      <c r="Q60" s="35" t="str">
        <f>A60</f>
        <v>Summe -</v>
      </c>
      <c r="R60" s="32">
        <f>SUM(R12:R59)</f>
        <v>0</v>
      </c>
      <c r="S60" s="33" t="str">
        <f>A60</f>
        <v>Summe -</v>
      </c>
      <c r="T60" s="34">
        <f>SUM(T12:T59)</f>
        <v>0</v>
      </c>
      <c r="U60" s="35" t="str">
        <f>A60</f>
        <v>Summe -</v>
      </c>
      <c r="V60" s="32">
        <f>SUM(V12:V59)</f>
        <v>0</v>
      </c>
      <c r="W60" s="33" t="str">
        <f>A60</f>
        <v>Summe -</v>
      </c>
      <c r="X60" s="36">
        <f>SUM(X12:X59)</f>
        <v>0</v>
      </c>
    </row>
    <row r="61" spans="1:24" ht="15.6">
      <c r="A61" s="8"/>
      <c r="B61" s="21"/>
      <c r="C61" s="10"/>
      <c r="D61" s="22"/>
      <c r="E61" s="12"/>
      <c r="F61" s="21"/>
      <c r="G61" s="10"/>
      <c r="H61" s="22"/>
      <c r="I61" s="12"/>
      <c r="J61" s="21"/>
      <c r="K61" s="10"/>
      <c r="L61" s="22"/>
      <c r="M61" s="12"/>
      <c r="N61" s="21"/>
      <c r="O61" s="10"/>
      <c r="P61" s="22"/>
      <c r="Q61" s="12"/>
      <c r="R61" s="21"/>
      <c r="S61" s="10"/>
      <c r="T61" s="22"/>
      <c r="U61" s="12"/>
      <c r="V61" s="21"/>
      <c r="W61" s="10"/>
      <c r="X61" s="23"/>
    </row>
    <row r="62" spans="1:24" ht="15.6">
      <c r="A62" s="8"/>
      <c r="B62" s="21"/>
      <c r="C62" s="10"/>
      <c r="D62" s="22"/>
      <c r="E62" s="12"/>
      <c r="F62" s="21"/>
      <c r="G62" s="10"/>
      <c r="H62" s="22"/>
      <c r="I62" s="12"/>
      <c r="J62" s="21"/>
      <c r="K62" s="10"/>
      <c r="L62" s="22"/>
      <c r="M62" s="12"/>
      <c r="N62" s="21"/>
      <c r="O62" s="10"/>
      <c r="P62" s="22"/>
      <c r="Q62" s="12"/>
      <c r="R62" s="21"/>
      <c r="S62" s="10"/>
      <c r="T62" s="22"/>
      <c r="U62" s="12"/>
      <c r="V62" s="21"/>
      <c r="W62" s="10"/>
      <c r="X62" s="23"/>
    </row>
    <row r="63" spans="1:24" ht="15.6">
      <c r="A63" s="8"/>
      <c r="B63" s="21"/>
      <c r="C63" s="10"/>
      <c r="D63" s="22"/>
      <c r="E63" s="12"/>
      <c r="F63" s="21"/>
      <c r="G63" s="10"/>
      <c r="H63" s="22"/>
      <c r="I63" s="12"/>
      <c r="J63" s="21"/>
      <c r="K63" s="10"/>
      <c r="L63" s="22"/>
      <c r="M63" s="12"/>
      <c r="N63" s="21"/>
      <c r="O63" s="10"/>
      <c r="P63" s="22"/>
      <c r="Q63" s="12"/>
      <c r="R63" s="21"/>
      <c r="S63" s="10"/>
      <c r="T63" s="22"/>
      <c r="U63" s="12"/>
      <c r="V63" s="21"/>
      <c r="W63" s="10"/>
      <c r="X63" s="23"/>
    </row>
    <row r="64" spans="1:24" ht="15.6">
      <c r="A64" s="8"/>
      <c r="B64" s="21"/>
      <c r="C64" s="10"/>
      <c r="D64" s="22"/>
      <c r="E64" s="12"/>
      <c r="F64" s="21"/>
      <c r="G64" s="10"/>
      <c r="H64" s="22"/>
      <c r="I64" s="12"/>
      <c r="J64" s="21"/>
      <c r="K64" s="10"/>
      <c r="L64" s="22"/>
      <c r="M64" s="12"/>
      <c r="N64" s="21"/>
      <c r="O64" s="10"/>
      <c r="P64" s="22"/>
      <c r="Q64" s="12"/>
      <c r="R64" s="21"/>
      <c r="S64" s="10"/>
      <c r="T64" s="22"/>
      <c r="U64" s="12"/>
      <c r="V64" s="21"/>
      <c r="W64" s="10"/>
      <c r="X64" s="23"/>
    </row>
    <row r="65" spans="1:24" ht="15.6">
      <c r="A65" s="8"/>
      <c r="B65" s="21"/>
      <c r="C65" s="10"/>
      <c r="D65" s="22"/>
      <c r="E65" s="12"/>
      <c r="F65" s="21"/>
      <c r="G65" s="10"/>
      <c r="H65" s="22"/>
      <c r="I65" s="12"/>
      <c r="J65" s="21"/>
      <c r="K65" s="10"/>
      <c r="L65" s="22"/>
      <c r="M65" s="12"/>
      <c r="N65" s="21"/>
      <c r="O65" s="10"/>
      <c r="P65" s="22"/>
      <c r="Q65" s="12"/>
      <c r="R65" s="21"/>
      <c r="S65" s="10"/>
      <c r="T65" s="22"/>
      <c r="U65" s="12"/>
      <c r="V65" s="21"/>
      <c r="W65" s="10"/>
      <c r="X65" s="23"/>
    </row>
    <row r="66" spans="1:24" ht="15.6">
      <c r="A66" s="8"/>
      <c r="B66" s="21"/>
      <c r="C66" s="10"/>
      <c r="D66" s="22"/>
      <c r="E66" s="12"/>
      <c r="F66" s="21"/>
      <c r="G66" s="10"/>
      <c r="H66" s="22"/>
      <c r="I66" s="12"/>
      <c r="J66" s="21"/>
      <c r="K66" s="10"/>
      <c r="L66" s="22"/>
      <c r="M66" s="12"/>
      <c r="N66" s="21"/>
      <c r="O66" s="10"/>
      <c r="P66" s="22"/>
      <c r="Q66" s="12"/>
      <c r="R66" s="21"/>
      <c r="S66" s="10"/>
      <c r="T66" s="22"/>
      <c r="U66" s="12"/>
      <c r="V66" s="21"/>
      <c r="W66" s="10"/>
      <c r="X66" s="23"/>
    </row>
    <row r="67" spans="1:24" ht="15.6">
      <c r="A67" s="8"/>
      <c r="B67" s="21"/>
      <c r="C67" s="10"/>
      <c r="D67" s="22"/>
      <c r="E67" s="12"/>
      <c r="F67" s="21"/>
      <c r="G67" s="10"/>
      <c r="H67" s="22"/>
      <c r="I67" s="12"/>
      <c r="J67" s="21"/>
      <c r="K67" s="10"/>
      <c r="L67" s="22"/>
      <c r="M67" s="12"/>
      <c r="N67" s="21"/>
      <c r="O67" s="10"/>
      <c r="P67" s="22"/>
      <c r="Q67" s="12"/>
      <c r="R67" s="21"/>
      <c r="S67" s="10"/>
      <c r="T67" s="22"/>
      <c r="U67" s="12"/>
      <c r="V67" s="21"/>
      <c r="W67" s="10"/>
      <c r="X67" s="23"/>
    </row>
    <row r="68" spans="1:24" ht="15.6">
      <c r="A68" s="8"/>
      <c r="B68" s="21"/>
      <c r="C68" s="10"/>
      <c r="D68" s="22"/>
      <c r="E68" s="12"/>
      <c r="F68" s="21"/>
      <c r="G68" s="10"/>
      <c r="H68" s="22"/>
      <c r="I68" s="12"/>
      <c r="J68" s="21"/>
      <c r="K68" s="10"/>
      <c r="L68" s="22"/>
      <c r="M68" s="12"/>
      <c r="N68" s="21"/>
      <c r="O68" s="10"/>
      <c r="P68" s="22"/>
      <c r="Q68" s="12"/>
      <c r="R68" s="21"/>
      <c r="S68" s="10"/>
      <c r="T68" s="22"/>
      <c r="U68" s="12"/>
      <c r="V68" s="21"/>
      <c r="W68" s="10"/>
      <c r="X68" s="23"/>
    </row>
    <row r="69" spans="1:24" ht="15.6">
      <c r="A69" s="8"/>
      <c r="B69" s="21"/>
      <c r="C69" s="10"/>
      <c r="D69" s="22"/>
      <c r="E69" s="12"/>
      <c r="F69" s="21"/>
      <c r="G69" s="10"/>
      <c r="H69" s="22"/>
      <c r="I69" s="12"/>
      <c r="J69" s="21"/>
      <c r="K69" s="10"/>
      <c r="L69" s="22"/>
      <c r="M69" s="12"/>
      <c r="N69" s="21"/>
      <c r="O69" s="10"/>
      <c r="P69" s="22"/>
      <c r="Q69" s="12"/>
      <c r="R69" s="21"/>
      <c r="S69" s="10"/>
      <c r="T69" s="22"/>
      <c r="U69" s="12"/>
      <c r="V69" s="21"/>
      <c r="W69" s="10"/>
      <c r="X69" s="23"/>
    </row>
    <row r="70" spans="1:24" ht="15.6">
      <c r="A70" s="8"/>
      <c r="B70" s="21"/>
      <c r="C70" s="10"/>
      <c r="D70" s="22"/>
      <c r="E70" s="12"/>
      <c r="F70" s="21"/>
      <c r="G70" s="10"/>
      <c r="H70" s="22"/>
      <c r="I70" s="12"/>
      <c r="J70" s="21"/>
      <c r="K70" s="10"/>
      <c r="L70" s="22"/>
      <c r="M70" s="12"/>
      <c r="N70" s="21"/>
      <c r="O70" s="10"/>
      <c r="P70" s="22"/>
      <c r="Q70" s="12"/>
      <c r="R70" s="21"/>
      <c r="S70" s="10"/>
      <c r="T70" s="22"/>
      <c r="U70" s="12"/>
      <c r="V70" s="21"/>
      <c r="W70" s="10"/>
      <c r="X70" s="23"/>
    </row>
    <row r="71" spans="1:24" ht="15.6">
      <c r="A71" s="8"/>
      <c r="B71" s="21"/>
      <c r="C71" s="10"/>
      <c r="D71" s="22"/>
      <c r="E71" s="12"/>
      <c r="F71" s="21"/>
      <c r="G71" s="10"/>
      <c r="H71" s="22"/>
      <c r="I71" s="12"/>
      <c r="J71" s="21"/>
      <c r="K71" s="10"/>
      <c r="L71" s="22"/>
      <c r="M71" s="12"/>
      <c r="N71" s="21"/>
      <c r="O71" s="10"/>
      <c r="P71" s="22"/>
      <c r="Q71" s="12"/>
      <c r="R71" s="21"/>
      <c r="S71" s="10"/>
      <c r="T71" s="22"/>
      <c r="U71" s="12"/>
      <c r="V71" s="21"/>
      <c r="W71" s="10"/>
      <c r="X71" s="23"/>
    </row>
    <row r="72" spans="1:24" ht="15.6">
      <c r="A72" s="8"/>
      <c r="B72" s="21"/>
      <c r="C72" s="10"/>
      <c r="D72" s="22"/>
      <c r="E72" s="12"/>
      <c r="F72" s="21"/>
      <c r="G72" s="10"/>
      <c r="H72" s="22"/>
      <c r="I72" s="12"/>
      <c r="J72" s="21"/>
      <c r="K72" s="10"/>
      <c r="L72" s="22"/>
      <c r="M72" s="12"/>
      <c r="N72" s="21"/>
      <c r="O72" s="10"/>
      <c r="P72" s="22"/>
      <c r="Q72" s="12"/>
      <c r="R72" s="21"/>
      <c r="S72" s="10"/>
      <c r="T72" s="22"/>
      <c r="U72" s="12"/>
      <c r="V72" s="21"/>
      <c r="W72" s="10"/>
      <c r="X72" s="23"/>
    </row>
    <row r="73" spans="1:24" ht="15.6">
      <c r="A73" s="8"/>
      <c r="B73" s="21"/>
      <c r="C73" s="10"/>
      <c r="D73" s="22"/>
      <c r="E73" s="12"/>
      <c r="F73" s="21"/>
      <c r="G73" s="10"/>
      <c r="H73" s="22"/>
      <c r="I73" s="12"/>
      <c r="J73" s="21"/>
      <c r="K73" s="10"/>
      <c r="L73" s="22"/>
      <c r="M73" s="12"/>
      <c r="N73" s="21"/>
      <c r="O73" s="10"/>
      <c r="P73" s="22"/>
      <c r="Q73" s="12"/>
      <c r="R73" s="21"/>
      <c r="S73" s="10"/>
      <c r="T73" s="22"/>
      <c r="U73" s="12"/>
      <c r="V73" s="21"/>
      <c r="W73" s="10"/>
      <c r="X73" s="23"/>
    </row>
    <row r="74" spans="1:24" ht="15.6">
      <c r="A74" s="8"/>
      <c r="B74" s="21"/>
      <c r="C74" s="10"/>
      <c r="D74" s="22"/>
      <c r="E74" s="12"/>
      <c r="F74" s="21"/>
      <c r="G74" s="10"/>
      <c r="H74" s="22"/>
      <c r="I74" s="12"/>
      <c r="J74" s="21"/>
      <c r="K74" s="10"/>
      <c r="L74" s="22"/>
      <c r="M74" s="12"/>
      <c r="N74" s="21"/>
      <c r="O74" s="10"/>
      <c r="P74" s="22"/>
      <c r="Q74" s="12"/>
      <c r="R74" s="21"/>
      <c r="S74" s="10"/>
      <c r="T74" s="22"/>
      <c r="U74" s="12"/>
      <c r="V74" s="21"/>
      <c r="W74" s="10"/>
      <c r="X74" s="23"/>
    </row>
    <row r="75" spans="1:24" ht="15.6">
      <c r="A75" s="8"/>
      <c r="B75" s="21"/>
      <c r="C75" s="10"/>
      <c r="D75" s="22"/>
      <c r="E75" s="12"/>
      <c r="F75" s="21"/>
      <c r="G75" s="10"/>
      <c r="H75" s="22"/>
      <c r="I75" s="12"/>
      <c r="J75" s="21"/>
      <c r="K75" s="10"/>
      <c r="L75" s="22"/>
      <c r="M75" s="12"/>
      <c r="N75" s="21"/>
      <c r="O75" s="10"/>
      <c r="P75" s="22"/>
      <c r="Q75" s="12"/>
      <c r="R75" s="21"/>
      <c r="S75" s="10"/>
      <c r="T75" s="22"/>
      <c r="U75" s="12"/>
      <c r="V75" s="21"/>
      <c r="W75" s="10"/>
      <c r="X75" s="23"/>
    </row>
    <row r="76" spans="1:24" ht="15.6">
      <c r="A76" s="8"/>
      <c r="B76" s="21"/>
      <c r="C76" s="10"/>
      <c r="D76" s="22"/>
      <c r="E76" s="12"/>
      <c r="F76" s="21"/>
      <c r="G76" s="10"/>
      <c r="H76" s="22"/>
      <c r="I76" s="12"/>
      <c r="J76" s="21"/>
      <c r="K76" s="10"/>
      <c r="L76" s="22"/>
      <c r="M76" s="12"/>
      <c r="N76" s="21"/>
      <c r="O76" s="10"/>
      <c r="P76" s="22"/>
      <c r="Q76" s="12"/>
      <c r="R76" s="21"/>
      <c r="S76" s="10"/>
      <c r="T76" s="22"/>
      <c r="U76" s="12"/>
      <c r="V76" s="21"/>
      <c r="W76" s="10"/>
      <c r="X76" s="23"/>
    </row>
    <row r="77" spans="1:24" ht="15.6">
      <c r="A77" s="8"/>
      <c r="B77" s="21"/>
      <c r="C77" s="10"/>
      <c r="D77" s="22"/>
      <c r="E77" s="12"/>
      <c r="F77" s="21"/>
      <c r="G77" s="10"/>
      <c r="H77" s="22"/>
      <c r="I77" s="12"/>
      <c r="J77" s="21"/>
      <c r="K77" s="10"/>
      <c r="L77" s="22"/>
      <c r="M77" s="12"/>
      <c r="N77" s="21"/>
      <c r="O77" s="10"/>
      <c r="P77" s="22"/>
      <c r="Q77" s="12"/>
      <c r="R77" s="21"/>
      <c r="S77" s="10"/>
      <c r="T77" s="22"/>
      <c r="U77" s="12"/>
      <c r="V77" s="21"/>
      <c r="W77" s="10"/>
      <c r="X77" s="23"/>
    </row>
    <row r="78" spans="1:24" ht="15.6">
      <c r="A78" s="8"/>
      <c r="B78" s="21"/>
      <c r="C78" s="10"/>
      <c r="D78" s="22"/>
      <c r="E78" s="12"/>
      <c r="F78" s="21"/>
      <c r="G78" s="10"/>
      <c r="H78" s="22"/>
      <c r="I78" s="12"/>
      <c r="J78" s="21"/>
      <c r="K78" s="10"/>
      <c r="L78" s="22"/>
      <c r="M78" s="12"/>
      <c r="N78" s="21"/>
      <c r="O78" s="10"/>
      <c r="P78" s="22"/>
      <c r="Q78" s="12"/>
      <c r="R78" s="21"/>
      <c r="S78" s="10"/>
      <c r="T78" s="22"/>
      <c r="U78" s="12"/>
      <c r="V78" s="21"/>
      <c r="W78" s="10"/>
      <c r="X78" s="23"/>
    </row>
    <row r="79" spans="1:24" ht="15.6">
      <c r="A79" s="8"/>
      <c r="B79" s="21"/>
      <c r="C79" s="10"/>
      <c r="D79" s="22"/>
      <c r="E79" s="12"/>
      <c r="F79" s="21"/>
      <c r="G79" s="10"/>
      <c r="H79" s="22"/>
      <c r="I79" s="12"/>
      <c r="J79" s="21"/>
      <c r="K79" s="10"/>
      <c r="L79" s="22"/>
      <c r="M79" s="12"/>
      <c r="N79" s="21"/>
      <c r="O79" s="10"/>
      <c r="P79" s="22"/>
      <c r="Q79" s="12"/>
      <c r="R79" s="21"/>
      <c r="S79" s="10"/>
      <c r="T79" s="22"/>
      <c r="U79" s="12"/>
      <c r="V79" s="21"/>
      <c r="W79" s="10"/>
      <c r="X79" s="23"/>
    </row>
    <row r="80" spans="1:24" ht="15.6">
      <c r="A80" s="8"/>
      <c r="B80" s="21"/>
      <c r="C80" s="10"/>
      <c r="D80" s="22"/>
      <c r="E80" s="12"/>
      <c r="F80" s="21"/>
      <c r="G80" s="10"/>
      <c r="H80" s="22"/>
      <c r="I80" s="12"/>
      <c r="J80" s="21"/>
      <c r="K80" s="10"/>
      <c r="L80" s="22"/>
      <c r="M80" s="12"/>
      <c r="N80" s="21"/>
      <c r="O80" s="10"/>
      <c r="P80" s="22"/>
      <c r="Q80" s="12"/>
      <c r="R80" s="21"/>
      <c r="S80" s="10"/>
      <c r="T80" s="22"/>
      <c r="U80" s="12"/>
      <c r="V80" s="21"/>
      <c r="W80" s="10"/>
      <c r="X80" s="23"/>
    </row>
    <row r="81" spans="1:24" ht="15.6">
      <c r="A81" s="8"/>
      <c r="B81" s="21"/>
      <c r="C81" s="10"/>
      <c r="D81" s="22"/>
      <c r="E81" s="12"/>
      <c r="F81" s="21"/>
      <c r="G81" s="10"/>
      <c r="H81" s="22"/>
      <c r="I81" s="12"/>
      <c r="J81" s="21"/>
      <c r="K81" s="10"/>
      <c r="L81" s="22"/>
      <c r="M81" s="12"/>
      <c r="N81" s="21"/>
      <c r="O81" s="10"/>
      <c r="P81" s="22"/>
      <c r="Q81" s="12"/>
      <c r="R81" s="21"/>
      <c r="S81" s="10"/>
      <c r="T81" s="22"/>
      <c r="U81" s="12"/>
      <c r="V81" s="21"/>
      <c r="W81" s="10"/>
      <c r="X81" s="23"/>
    </row>
    <row r="82" spans="1:24" ht="15.6">
      <c r="A82" s="8"/>
      <c r="B82" s="21"/>
      <c r="C82" s="10"/>
      <c r="D82" s="22"/>
      <c r="E82" s="12"/>
      <c r="F82" s="21"/>
      <c r="G82" s="10"/>
      <c r="H82" s="22"/>
      <c r="I82" s="12"/>
      <c r="J82" s="21"/>
      <c r="K82" s="10"/>
      <c r="L82" s="22"/>
      <c r="M82" s="12"/>
      <c r="N82" s="21"/>
      <c r="O82" s="10"/>
      <c r="P82" s="22"/>
      <c r="Q82" s="12"/>
      <c r="R82" s="21"/>
      <c r="S82" s="10"/>
      <c r="T82" s="22"/>
      <c r="U82" s="12"/>
      <c r="V82" s="21"/>
      <c r="W82" s="10"/>
      <c r="X82" s="23"/>
    </row>
    <row r="83" spans="1:24" ht="15.6">
      <c r="A83" s="8"/>
      <c r="B83" s="21"/>
      <c r="C83" s="10"/>
      <c r="D83" s="22"/>
      <c r="E83" s="12"/>
      <c r="F83" s="21"/>
      <c r="G83" s="10"/>
      <c r="H83" s="22"/>
      <c r="I83" s="12"/>
      <c r="J83" s="21"/>
      <c r="K83" s="10"/>
      <c r="L83" s="22"/>
      <c r="M83" s="12"/>
      <c r="N83" s="21"/>
      <c r="O83" s="10"/>
      <c r="P83" s="22"/>
      <c r="Q83" s="12"/>
      <c r="R83" s="21"/>
      <c r="S83" s="10"/>
      <c r="T83" s="22"/>
      <c r="U83" s="12"/>
      <c r="V83" s="21"/>
      <c r="W83" s="10"/>
      <c r="X83" s="23"/>
    </row>
    <row r="84" spans="1:24" ht="15.6">
      <c r="A84" s="8"/>
      <c r="B84" s="21"/>
      <c r="C84" s="10"/>
      <c r="D84" s="22"/>
      <c r="E84" s="12"/>
      <c r="F84" s="21"/>
      <c r="G84" s="10"/>
      <c r="H84" s="22"/>
      <c r="I84" s="12"/>
      <c r="J84" s="21"/>
      <c r="K84" s="10"/>
      <c r="L84" s="22"/>
      <c r="M84" s="12"/>
      <c r="N84" s="21"/>
      <c r="O84" s="10"/>
      <c r="P84" s="22"/>
      <c r="Q84" s="12"/>
      <c r="R84" s="21"/>
      <c r="S84" s="10"/>
      <c r="T84" s="22"/>
      <c r="U84" s="12"/>
      <c r="V84" s="21"/>
      <c r="W84" s="10"/>
      <c r="X84" s="23"/>
    </row>
    <row r="85" spans="1:24" ht="15.6">
      <c r="A85" s="8"/>
      <c r="B85" s="21"/>
      <c r="C85" s="10"/>
      <c r="D85" s="22"/>
      <c r="E85" s="12"/>
      <c r="F85" s="21"/>
      <c r="G85" s="10"/>
      <c r="H85" s="22"/>
      <c r="I85" s="12"/>
      <c r="J85" s="21"/>
      <c r="K85" s="10"/>
      <c r="L85" s="22"/>
      <c r="M85" s="12"/>
      <c r="N85" s="21"/>
      <c r="O85" s="10"/>
      <c r="P85" s="22"/>
      <c r="Q85" s="12"/>
      <c r="R85" s="21"/>
      <c r="S85" s="10"/>
      <c r="T85" s="22"/>
      <c r="U85" s="12"/>
      <c r="V85" s="21"/>
      <c r="W85" s="10"/>
      <c r="X85" s="23"/>
    </row>
    <row r="86" spans="1:24" ht="15.6">
      <c r="A86" s="8"/>
      <c r="B86" s="21"/>
      <c r="C86" s="10"/>
      <c r="D86" s="22"/>
      <c r="E86" s="12"/>
      <c r="F86" s="21"/>
      <c r="G86" s="10"/>
      <c r="H86" s="22"/>
      <c r="I86" s="12"/>
      <c r="J86" s="21"/>
      <c r="K86" s="10"/>
      <c r="L86" s="22"/>
      <c r="M86" s="12"/>
      <c r="N86" s="21"/>
      <c r="O86" s="10"/>
      <c r="P86" s="22"/>
      <c r="Q86" s="12"/>
      <c r="R86" s="21"/>
      <c r="S86" s="10"/>
      <c r="T86" s="22"/>
      <c r="U86" s="12"/>
      <c r="V86" s="21"/>
      <c r="W86" s="10"/>
      <c r="X86" s="23"/>
    </row>
    <row r="87" spans="1:24" ht="15.6">
      <c r="A87" s="8"/>
      <c r="B87" s="21"/>
      <c r="C87" s="10"/>
      <c r="D87" s="22"/>
      <c r="E87" s="12"/>
      <c r="F87" s="21"/>
      <c r="G87" s="10"/>
      <c r="H87" s="22"/>
      <c r="I87" s="12"/>
      <c r="J87" s="21"/>
      <c r="K87" s="10"/>
      <c r="L87" s="22"/>
      <c r="M87" s="12"/>
      <c r="N87" s="21"/>
      <c r="O87" s="10"/>
      <c r="P87" s="22"/>
      <c r="Q87" s="12"/>
      <c r="R87" s="21"/>
      <c r="S87" s="10"/>
      <c r="T87" s="22"/>
      <c r="U87" s="12"/>
      <c r="V87" s="21"/>
      <c r="W87" s="10"/>
      <c r="X87" s="23"/>
    </row>
    <row r="88" spans="1:24" ht="15.6">
      <c r="A88" s="8"/>
      <c r="B88" s="21"/>
      <c r="C88" s="10"/>
      <c r="D88" s="22"/>
      <c r="E88" s="12"/>
      <c r="F88" s="21"/>
      <c r="G88" s="10"/>
      <c r="H88" s="22"/>
      <c r="I88" s="12"/>
      <c r="J88" s="21"/>
      <c r="K88" s="10"/>
      <c r="L88" s="22"/>
      <c r="M88" s="12"/>
      <c r="N88" s="21"/>
      <c r="O88" s="10"/>
      <c r="P88" s="22"/>
      <c r="Q88" s="12"/>
      <c r="R88" s="21"/>
      <c r="S88" s="10"/>
      <c r="T88" s="22"/>
      <c r="U88" s="12"/>
      <c r="V88" s="21"/>
      <c r="W88" s="10"/>
      <c r="X88" s="23"/>
    </row>
    <row r="89" spans="1:24" ht="15.6">
      <c r="A89" s="8"/>
      <c r="B89" s="21"/>
      <c r="C89" s="10"/>
      <c r="D89" s="22"/>
      <c r="E89" s="12"/>
      <c r="F89" s="21"/>
      <c r="G89" s="10"/>
      <c r="H89" s="22"/>
      <c r="I89" s="12"/>
      <c r="J89" s="21"/>
      <c r="K89" s="10"/>
      <c r="L89" s="22"/>
      <c r="M89" s="12"/>
      <c r="N89" s="21"/>
      <c r="O89" s="10"/>
      <c r="P89" s="22"/>
      <c r="Q89" s="12"/>
      <c r="R89" s="21"/>
      <c r="S89" s="10"/>
      <c r="T89" s="22"/>
      <c r="U89" s="12"/>
      <c r="V89" s="21"/>
      <c r="W89" s="10"/>
      <c r="X89" s="23"/>
    </row>
    <row r="90" spans="1:24" ht="15.6">
      <c r="A90" s="8"/>
      <c r="B90" s="21"/>
      <c r="C90" s="10"/>
      <c r="D90" s="22"/>
      <c r="E90" s="12"/>
      <c r="F90" s="21"/>
      <c r="G90" s="10"/>
      <c r="H90" s="22"/>
      <c r="I90" s="12"/>
      <c r="J90" s="21"/>
      <c r="K90" s="10"/>
      <c r="L90" s="22"/>
      <c r="M90" s="12"/>
      <c r="N90" s="21"/>
      <c r="O90" s="10"/>
      <c r="P90" s="22"/>
      <c r="Q90" s="12"/>
      <c r="R90" s="21"/>
      <c r="S90" s="10"/>
      <c r="T90" s="22"/>
      <c r="U90" s="12"/>
      <c r="V90" s="21"/>
      <c r="W90" s="10"/>
      <c r="X90" s="23"/>
    </row>
    <row r="91" spans="1:24" ht="15.6">
      <c r="A91" s="8"/>
      <c r="B91" s="21"/>
      <c r="C91" s="10"/>
      <c r="D91" s="22"/>
      <c r="E91" s="12"/>
      <c r="F91" s="21"/>
      <c r="G91" s="10"/>
      <c r="H91" s="22"/>
      <c r="I91" s="12"/>
      <c r="J91" s="21"/>
      <c r="K91" s="10"/>
      <c r="L91" s="22"/>
      <c r="M91" s="12"/>
      <c r="N91" s="21"/>
      <c r="O91" s="10"/>
      <c r="P91" s="22"/>
      <c r="Q91" s="12"/>
      <c r="R91" s="21"/>
      <c r="S91" s="10"/>
      <c r="T91" s="22"/>
      <c r="U91" s="12"/>
      <c r="V91" s="21"/>
      <c r="W91" s="10"/>
      <c r="X91" s="23"/>
    </row>
    <row r="92" spans="1:24" ht="15.6">
      <c r="A92" s="8"/>
      <c r="B92" s="21"/>
      <c r="C92" s="10"/>
      <c r="D92" s="22"/>
      <c r="E92" s="12"/>
      <c r="F92" s="21"/>
      <c r="G92" s="10"/>
      <c r="H92" s="22"/>
      <c r="I92" s="12"/>
      <c r="J92" s="21"/>
      <c r="K92" s="10"/>
      <c r="L92" s="22"/>
      <c r="M92" s="12"/>
      <c r="N92" s="21"/>
      <c r="O92" s="10"/>
      <c r="P92" s="22"/>
      <c r="Q92" s="12"/>
      <c r="R92" s="21"/>
      <c r="S92" s="10"/>
      <c r="T92" s="22"/>
      <c r="U92" s="12"/>
      <c r="V92" s="21"/>
      <c r="W92" s="10"/>
      <c r="X92" s="23"/>
    </row>
    <row r="93" spans="1:24" ht="15.6">
      <c r="A93" s="8"/>
      <c r="B93" s="21"/>
      <c r="C93" s="10"/>
      <c r="D93" s="22"/>
      <c r="E93" s="12"/>
      <c r="F93" s="21"/>
      <c r="G93" s="10"/>
      <c r="H93" s="22"/>
      <c r="I93" s="12"/>
      <c r="J93" s="21"/>
      <c r="K93" s="10"/>
      <c r="L93" s="22"/>
      <c r="M93" s="12"/>
      <c r="N93" s="21"/>
      <c r="O93" s="10"/>
      <c r="P93" s="22"/>
      <c r="Q93" s="12"/>
      <c r="R93" s="21"/>
      <c r="S93" s="10"/>
      <c r="T93" s="22"/>
      <c r="U93" s="12"/>
      <c r="V93" s="21"/>
      <c r="W93" s="10"/>
      <c r="X93" s="23"/>
    </row>
    <row r="94" spans="1:24" ht="15.6">
      <c r="A94" s="8"/>
      <c r="B94" s="21"/>
      <c r="C94" s="10"/>
      <c r="D94" s="22"/>
      <c r="E94" s="12"/>
      <c r="F94" s="21"/>
      <c r="G94" s="10"/>
      <c r="H94" s="22"/>
      <c r="I94" s="12"/>
      <c r="J94" s="21"/>
      <c r="K94" s="10"/>
      <c r="L94" s="22"/>
      <c r="M94" s="12"/>
      <c r="N94" s="21"/>
      <c r="O94" s="10"/>
      <c r="P94" s="22"/>
      <c r="Q94" s="12"/>
      <c r="R94" s="21"/>
      <c r="S94" s="10"/>
      <c r="T94" s="22"/>
      <c r="U94" s="12"/>
      <c r="V94" s="21"/>
      <c r="W94" s="10"/>
      <c r="X94" s="23"/>
    </row>
    <row r="95" spans="1:24" ht="15.6">
      <c r="A95" s="8"/>
      <c r="B95" s="21"/>
      <c r="C95" s="10"/>
      <c r="D95" s="22"/>
      <c r="E95" s="12"/>
      <c r="F95" s="21"/>
      <c r="G95" s="10"/>
      <c r="H95" s="22"/>
      <c r="I95" s="12"/>
      <c r="J95" s="21"/>
      <c r="K95" s="10"/>
      <c r="L95" s="22"/>
      <c r="M95" s="12"/>
      <c r="N95" s="21"/>
      <c r="O95" s="10"/>
      <c r="P95" s="22"/>
      <c r="Q95" s="12"/>
      <c r="R95" s="21"/>
      <c r="S95" s="10"/>
      <c r="T95" s="22"/>
      <c r="U95" s="12"/>
      <c r="V95" s="21"/>
      <c r="W95" s="10"/>
      <c r="X95" s="23"/>
    </row>
    <row r="96" spans="1:24" ht="15.6">
      <c r="A96" s="8"/>
      <c r="B96" s="21"/>
      <c r="C96" s="10"/>
      <c r="D96" s="22"/>
      <c r="E96" s="12"/>
      <c r="F96" s="21"/>
      <c r="G96" s="10"/>
      <c r="H96" s="22"/>
      <c r="I96" s="12"/>
      <c r="J96" s="21"/>
      <c r="K96" s="10"/>
      <c r="L96" s="22"/>
      <c r="M96" s="12"/>
      <c r="N96" s="21"/>
      <c r="O96" s="10"/>
      <c r="P96" s="22"/>
      <c r="Q96" s="12"/>
      <c r="R96" s="21"/>
      <c r="S96" s="10"/>
      <c r="T96" s="22"/>
      <c r="U96" s="12"/>
      <c r="V96" s="21"/>
      <c r="W96" s="10"/>
      <c r="X96" s="23"/>
    </row>
    <row r="97" spans="1:24" ht="15.6">
      <c r="A97" s="8"/>
      <c r="B97" s="21"/>
      <c r="C97" s="10"/>
      <c r="D97" s="22"/>
      <c r="E97" s="12"/>
      <c r="F97" s="21"/>
      <c r="G97" s="10"/>
      <c r="H97" s="22"/>
      <c r="I97" s="12"/>
      <c r="J97" s="21"/>
      <c r="K97" s="10"/>
      <c r="L97" s="22"/>
      <c r="M97" s="12"/>
      <c r="N97" s="21"/>
      <c r="O97" s="10"/>
      <c r="P97" s="22"/>
      <c r="Q97" s="12"/>
      <c r="R97" s="21"/>
      <c r="S97" s="10"/>
      <c r="T97" s="22"/>
      <c r="U97" s="12"/>
      <c r="V97" s="21"/>
      <c r="W97" s="10"/>
      <c r="X97" s="23"/>
    </row>
    <row r="98" spans="1:24" ht="15.6">
      <c r="A98" s="8"/>
      <c r="B98" s="21"/>
      <c r="C98" s="10"/>
      <c r="D98" s="22"/>
      <c r="E98" s="12"/>
      <c r="F98" s="21"/>
      <c r="G98" s="10"/>
      <c r="H98" s="22"/>
      <c r="I98" s="12"/>
      <c r="J98" s="21"/>
      <c r="K98" s="10"/>
      <c r="L98" s="22"/>
      <c r="M98" s="12"/>
      <c r="N98" s="21"/>
      <c r="O98" s="10"/>
      <c r="P98" s="22"/>
      <c r="Q98" s="12"/>
      <c r="R98" s="21"/>
      <c r="S98" s="10"/>
      <c r="T98" s="22"/>
      <c r="U98" s="12"/>
      <c r="V98" s="21"/>
      <c r="W98" s="10"/>
      <c r="X98" s="23"/>
    </row>
    <row r="99" spans="1:24" ht="15.6">
      <c r="A99" s="8"/>
      <c r="B99" s="21"/>
      <c r="C99" s="10"/>
      <c r="D99" s="22"/>
      <c r="E99" s="12"/>
      <c r="F99" s="21"/>
      <c r="G99" s="10"/>
      <c r="H99" s="22"/>
      <c r="I99" s="12"/>
      <c r="J99" s="21"/>
      <c r="K99" s="10"/>
      <c r="L99" s="22"/>
      <c r="M99" s="12"/>
      <c r="N99" s="21"/>
      <c r="O99" s="10"/>
      <c r="P99" s="22"/>
      <c r="Q99" s="12"/>
      <c r="R99" s="21"/>
      <c r="S99" s="10"/>
      <c r="T99" s="22"/>
      <c r="U99" s="12"/>
      <c r="V99" s="21"/>
      <c r="W99" s="10"/>
      <c r="X99" s="23"/>
    </row>
    <row r="100" spans="1:24" ht="15.6">
      <c r="A100" s="8"/>
      <c r="B100" s="21"/>
      <c r="C100" s="10"/>
      <c r="D100" s="22"/>
      <c r="E100" s="12"/>
      <c r="F100" s="21"/>
      <c r="G100" s="10"/>
      <c r="H100" s="22"/>
      <c r="I100" s="12"/>
      <c r="J100" s="21"/>
      <c r="K100" s="10"/>
      <c r="L100" s="22"/>
      <c r="M100" s="12"/>
      <c r="N100" s="21"/>
      <c r="O100" s="10"/>
      <c r="P100" s="22"/>
      <c r="Q100" s="12"/>
      <c r="R100" s="21"/>
      <c r="S100" s="10"/>
      <c r="T100" s="22"/>
      <c r="U100" s="12"/>
      <c r="V100" s="21"/>
      <c r="W100" s="10"/>
      <c r="X100" s="23"/>
    </row>
    <row r="101" spans="1:24" ht="15.6">
      <c r="A101" s="8"/>
      <c r="B101" s="21"/>
      <c r="C101" s="10"/>
      <c r="D101" s="22"/>
      <c r="E101" s="12"/>
      <c r="F101" s="21"/>
      <c r="G101" s="10"/>
      <c r="H101" s="22"/>
      <c r="I101" s="12"/>
      <c r="J101" s="21"/>
      <c r="K101" s="10"/>
      <c r="L101" s="22"/>
      <c r="M101" s="12"/>
      <c r="N101" s="21"/>
      <c r="O101" s="10"/>
      <c r="P101" s="22"/>
      <c r="Q101" s="12"/>
      <c r="R101" s="21"/>
      <c r="S101" s="10"/>
      <c r="T101" s="22"/>
      <c r="U101" s="12"/>
      <c r="V101" s="21"/>
      <c r="W101" s="10"/>
      <c r="X101" s="23"/>
    </row>
    <row r="102" spans="1:24" ht="15.6">
      <c r="A102" s="8"/>
      <c r="B102" s="21"/>
      <c r="C102" s="10"/>
      <c r="D102" s="22"/>
      <c r="E102" s="12"/>
      <c r="F102" s="21"/>
      <c r="G102" s="10"/>
      <c r="H102" s="22"/>
      <c r="I102" s="12"/>
      <c r="J102" s="21"/>
      <c r="K102" s="10"/>
      <c r="L102" s="22"/>
      <c r="M102" s="12"/>
      <c r="N102" s="21"/>
      <c r="O102" s="10"/>
      <c r="P102" s="22"/>
      <c r="Q102" s="12"/>
      <c r="R102" s="21"/>
      <c r="S102" s="10"/>
      <c r="T102" s="22"/>
      <c r="U102" s="12"/>
      <c r="V102" s="21"/>
      <c r="W102" s="10"/>
      <c r="X102" s="23"/>
    </row>
    <row r="103" spans="1:24" ht="15.6">
      <c r="A103" s="8"/>
      <c r="B103" s="21"/>
      <c r="C103" s="10"/>
      <c r="D103" s="22"/>
      <c r="E103" s="12"/>
      <c r="F103" s="21"/>
      <c r="G103" s="10"/>
      <c r="H103" s="22"/>
      <c r="I103" s="12"/>
      <c r="J103" s="21"/>
      <c r="K103" s="10"/>
      <c r="L103" s="22"/>
      <c r="M103" s="12"/>
      <c r="N103" s="21"/>
      <c r="O103" s="10"/>
      <c r="P103" s="22"/>
      <c r="Q103" s="12"/>
      <c r="R103" s="21"/>
      <c r="S103" s="10"/>
      <c r="T103" s="22"/>
      <c r="U103" s="12"/>
      <c r="V103" s="21"/>
      <c r="W103" s="10"/>
      <c r="X103" s="23"/>
    </row>
    <row r="104" spans="1:24" ht="15.6">
      <c r="A104" s="8"/>
      <c r="B104" s="21"/>
      <c r="C104" s="10"/>
      <c r="D104" s="22"/>
      <c r="E104" s="12"/>
      <c r="F104" s="21"/>
      <c r="G104" s="10"/>
      <c r="H104" s="22"/>
      <c r="I104" s="12"/>
      <c r="J104" s="21"/>
      <c r="K104" s="10"/>
      <c r="L104" s="22"/>
      <c r="M104" s="12"/>
      <c r="N104" s="21"/>
      <c r="O104" s="10"/>
      <c r="P104" s="22"/>
      <c r="Q104" s="12"/>
      <c r="R104" s="21"/>
      <c r="S104" s="10"/>
      <c r="T104" s="22"/>
      <c r="U104" s="12"/>
      <c r="V104" s="21"/>
      <c r="W104" s="10"/>
      <c r="X104" s="23"/>
    </row>
    <row r="105" spans="1:24" ht="15.6">
      <c r="A105" s="8"/>
      <c r="B105" s="21"/>
      <c r="C105" s="10"/>
      <c r="D105" s="22"/>
      <c r="E105" s="12"/>
      <c r="F105" s="21"/>
      <c r="G105" s="10"/>
      <c r="H105" s="22"/>
      <c r="I105" s="12"/>
      <c r="J105" s="21"/>
      <c r="K105" s="10"/>
      <c r="L105" s="22"/>
      <c r="M105" s="12"/>
      <c r="N105" s="21"/>
      <c r="O105" s="10"/>
      <c r="P105" s="22"/>
      <c r="Q105" s="12"/>
      <c r="R105" s="21"/>
      <c r="S105" s="10"/>
      <c r="T105" s="22"/>
      <c r="U105" s="12"/>
      <c r="V105" s="21"/>
      <c r="W105" s="10"/>
      <c r="X105" s="23"/>
    </row>
    <row r="106" spans="1:24" ht="15.6">
      <c r="A106" s="8"/>
      <c r="B106" s="21"/>
      <c r="C106" s="10"/>
      <c r="D106" s="22"/>
      <c r="E106" s="12"/>
      <c r="F106" s="21"/>
      <c r="G106" s="10"/>
      <c r="H106" s="22"/>
      <c r="I106" s="12"/>
      <c r="J106" s="21"/>
      <c r="K106" s="10"/>
      <c r="L106" s="22"/>
      <c r="M106" s="12"/>
      <c r="N106" s="21"/>
      <c r="O106" s="10"/>
      <c r="P106" s="22"/>
      <c r="Q106" s="12"/>
      <c r="R106" s="21"/>
      <c r="S106" s="10"/>
      <c r="T106" s="22"/>
      <c r="U106" s="12"/>
      <c r="V106" s="21"/>
      <c r="W106" s="10"/>
      <c r="X106" s="23"/>
    </row>
    <row r="107" spans="1:24" ht="15.6">
      <c r="A107" s="8"/>
      <c r="B107" s="21"/>
      <c r="C107" s="10"/>
      <c r="D107" s="22"/>
      <c r="E107" s="12"/>
      <c r="F107" s="21"/>
      <c r="G107" s="10"/>
      <c r="H107" s="22"/>
      <c r="I107" s="12"/>
      <c r="J107" s="21"/>
      <c r="K107" s="10"/>
      <c r="L107" s="22"/>
      <c r="M107" s="12"/>
      <c r="N107" s="21"/>
      <c r="O107" s="10"/>
      <c r="P107" s="22"/>
      <c r="Q107" s="12"/>
      <c r="R107" s="21"/>
      <c r="S107" s="10"/>
      <c r="T107" s="22"/>
      <c r="U107" s="12"/>
      <c r="V107" s="21"/>
      <c r="W107" s="10"/>
      <c r="X107" s="23"/>
    </row>
    <row r="108" spans="1:24" ht="15.6">
      <c r="A108" s="8"/>
      <c r="B108" s="21"/>
      <c r="C108" s="10"/>
      <c r="D108" s="22"/>
      <c r="E108" s="12"/>
      <c r="F108" s="21"/>
      <c r="G108" s="10"/>
      <c r="H108" s="22"/>
      <c r="I108" s="12"/>
      <c r="J108" s="21"/>
      <c r="K108" s="10"/>
      <c r="L108" s="22"/>
      <c r="M108" s="12"/>
      <c r="N108" s="21"/>
      <c r="O108" s="10"/>
      <c r="P108" s="22"/>
      <c r="Q108" s="12"/>
      <c r="R108" s="21"/>
      <c r="S108" s="10"/>
      <c r="T108" s="22"/>
      <c r="U108" s="12"/>
      <c r="V108" s="21"/>
      <c r="W108" s="10"/>
      <c r="X108" s="23"/>
    </row>
    <row r="109" spans="1:24" ht="15.6">
      <c r="A109" s="8"/>
      <c r="B109" s="21"/>
      <c r="C109" s="10"/>
      <c r="D109" s="22"/>
      <c r="E109" s="12"/>
      <c r="F109" s="21"/>
      <c r="G109" s="10"/>
      <c r="H109" s="22"/>
      <c r="I109" s="12"/>
      <c r="J109" s="21"/>
      <c r="K109" s="10"/>
      <c r="L109" s="22"/>
      <c r="M109" s="12"/>
      <c r="N109" s="21"/>
      <c r="O109" s="10"/>
      <c r="P109" s="22"/>
      <c r="Q109" s="12"/>
      <c r="R109" s="21"/>
      <c r="S109" s="10"/>
      <c r="T109" s="22"/>
      <c r="U109" s="12"/>
      <c r="V109" s="21"/>
      <c r="W109" s="10"/>
      <c r="X109" s="23"/>
    </row>
    <row r="110" spans="1:24" ht="15.6">
      <c r="A110" s="8"/>
      <c r="B110" s="21"/>
      <c r="C110" s="10"/>
      <c r="D110" s="22"/>
      <c r="E110" s="12"/>
      <c r="F110" s="21"/>
      <c r="G110" s="10"/>
      <c r="H110" s="22"/>
      <c r="I110" s="12"/>
      <c r="J110" s="21"/>
      <c r="K110" s="10"/>
      <c r="L110" s="22"/>
      <c r="M110" s="12"/>
      <c r="N110" s="21"/>
      <c r="O110" s="10"/>
      <c r="P110" s="22"/>
      <c r="Q110" s="12"/>
      <c r="R110" s="21"/>
      <c r="S110" s="10"/>
      <c r="T110" s="22"/>
      <c r="U110" s="12"/>
      <c r="V110" s="21"/>
      <c r="W110" s="10"/>
      <c r="X110" s="23"/>
    </row>
    <row r="111" spans="1:24" ht="15.6">
      <c r="A111" s="8"/>
      <c r="B111" s="21"/>
      <c r="C111" s="10"/>
      <c r="D111" s="22"/>
      <c r="E111" s="12"/>
      <c r="F111" s="21"/>
      <c r="G111" s="10"/>
      <c r="H111" s="22"/>
      <c r="I111" s="12"/>
      <c r="J111" s="21"/>
      <c r="K111" s="10"/>
      <c r="L111" s="22"/>
      <c r="M111" s="12"/>
      <c r="N111" s="21"/>
      <c r="O111" s="10"/>
      <c r="P111" s="22"/>
      <c r="Q111" s="12"/>
      <c r="R111" s="21"/>
      <c r="S111" s="10"/>
      <c r="T111" s="22"/>
      <c r="U111" s="12"/>
      <c r="V111" s="21"/>
      <c r="W111" s="10"/>
      <c r="X111" s="23"/>
    </row>
    <row r="112" spans="1:24" ht="15.6">
      <c r="A112" s="8"/>
      <c r="B112" s="21"/>
      <c r="C112" s="10"/>
      <c r="D112" s="22"/>
      <c r="E112" s="12"/>
      <c r="F112" s="21"/>
      <c r="G112" s="10"/>
      <c r="H112" s="22"/>
      <c r="I112" s="12"/>
      <c r="J112" s="21"/>
      <c r="K112" s="10"/>
      <c r="L112" s="22"/>
      <c r="M112" s="12"/>
      <c r="N112" s="21"/>
      <c r="O112" s="10"/>
      <c r="P112" s="22"/>
      <c r="Q112" s="12"/>
      <c r="R112" s="21"/>
      <c r="S112" s="10"/>
      <c r="T112" s="22"/>
      <c r="U112" s="12"/>
      <c r="V112" s="21"/>
      <c r="W112" s="10"/>
      <c r="X112" s="23"/>
    </row>
    <row r="113" spans="1:24" ht="15.6">
      <c r="A113" s="8"/>
      <c r="B113" s="21"/>
      <c r="C113" s="10"/>
      <c r="D113" s="22"/>
      <c r="E113" s="12"/>
      <c r="F113" s="21"/>
      <c r="G113" s="10"/>
      <c r="H113" s="22"/>
      <c r="I113" s="12"/>
      <c r="J113" s="21"/>
      <c r="K113" s="10"/>
      <c r="L113" s="22"/>
      <c r="M113" s="12"/>
      <c r="N113" s="21"/>
      <c r="O113" s="10"/>
      <c r="P113" s="22"/>
      <c r="Q113" s="12"/>
      <c r="R113" s="21"/>
      <c r="S113" s="10"/>
      <c r="T113" s="22"/>
      <c r="U113" s="12"/>
      <c r="V113" s="21"/>
      <c r="W113" s="10"/>
      <c r="X113" s="23"/>
    </row>
    <row r="114" spans="1:24" ht="15.6">
      <c r="A114" s="8"/>
      <c r="B114" s="21"/>
      <c r="C114" s="10"/>
      <c r="D114" s="22"/>
      <c r="E114" s="12"/>
      <c r="F114" s="21"/>
      <c r="G114" s="10"/>
      <c r="H114" s="22"/>
      <c r="I114" s="12"/>
      <c r="J114" s="21"/>
      <c r="K114" s="10"/>
      <c r="L114" s="22"/>
      <c r="M114" s="12"/>
      <c r="N114" s="21"/>
      <c r="O114" s="10"/>
      <c r="P114" s="22"/>
      <c r="Q114" s="12"/>
      <c r="R114" s="21"/>
      <c r="S114" s="10"/>
      <c r="T114" s="22"/>
      <c r="U114" s="12"/>
      <c r="V114" s="21"/>
      <c r="W114" s="10"/>
      <c r="X114" s="23"/>
    </row>
    <row r="115" spans="1:24" ht="15.6">
      <c r="A115" s="8"/>
      <c r="B115" s="21"/>
      <c r="C115" s="10"/>
      <c r="D115" s="22"/>
      <c r="E115" s="12"/>
      <c r="F115" s="21"/>
      <c r="G115" s="10"/>
      <c r="H115" s="22"/>
      <c r="I115" s="12"/>
      <c r="J115" s="21"/>
      <c r="K115" s="10"/>
      <c r="L115" s="22"/>
      <c r="M115" s="12"/>
      <c r="N115" s="21"/>
      <c r="O115" s="10"/>
      <c r="P115" s="22"/>
      <c r="Q115" s="12"/>
      <c r="R115" s="21"/>
      <c r="S115" s="10"/>
      <c r="T115" s="22"/>
      <c r="U115" s="12"/>
      <c r="V115" s="21"/>
      <c r="W115" s="10"/>
      <c r="X115" s="23"/>
    </row>
    <row r="116" spans="1:24" ht="15.6">
      <c r="A116" s="8"/>
      <c r="B116" s="21"/>
      <c r="C116" s="10"/>
      <c r="D116" s="22"/>
      <c r="E116" s="12"/>
      <c r="F116" s="21"/>
      <c r="G116" s="10"/>
      <c r="H116" s="22"/>
      <c r="I116" s="12"/>
      <c r="J116" s="21"/>
      <c r="K116" s="10"/>
      <c r="L116" s="22"/>
      <c r="M116" s="12"/>
      <c r="N116" s="21"/>
      <c r="O116" s="10"/>
      <c r="P116" s="22"/>
      <c r="Q116" s="12"/>
      <c r="R116" s="21"/>
      <c r="S116" s="10"/>
      <c r="T116" s="22"/>
      <c r="U116" s="12"/>
      <c r="V116" s="21"/>
      <c r="W116" s="10"/>
      <c r="X116" s="23"/>
    </row>
    <row r="117" spans="1:24" ht="15.6">
      <c r="A117" s="8"/>
      <c r="B117" s="21"/>
      <c r="C117" s="10"/>
      <c r="D117" s="22"/>
      <c r="E117" s="12"/>
      <c r="F117" s="21"/>
      <c r="G117" s="10"/>
      <c r="H117" s="22"/>
      <c r="I117" s="12"/>
      <c r="J117" s="21"/>
      <c r="K117" s="10"/>
      <c r="L117" s="22"/>
      <c r="M117" s="12"/>
      <c r="N117" s="21"/>
      <c r="O117" s="10"/>
      <c r="P117" s="22"/>
      <c r="Q117" s="12"/>
      <c r="R117" s="21"/>
      <c r="S117" s="10"/>
      <c r="T117" s="22"/>
      <c r="U117" s="12"/>
      <c r="V117" s="21"/>
      <c r="W117" s="10"/>
      <c r="X117" s="23"/>
    </row>
    <row r="118" spans="1:24" ht="15.6">
      <c r="A118" s="8"/>
      <c r="B118" s="21"/>
      <c r="C118" s="10"/>
      <c r="D118" s="22"/>
      <c r="E118" s="12"/>
      <c r="F118" s="21"/>
      <c r="G118" s="10"/>
      <c r="H118" s="22"/>
      <c r="I118" s="12"/>
      <c r="J118" s="21"/>
      <c r="K118" s="10"/>
      <c r="L118" s="22"/>
      <c r="M118" s="12"/>
      <c r="N118" s="21"/>
      <c r="O118" s="10"/>
      <c r="P118" s="22"/>
      <c r="Q118" s="12"/>
      <c r="R118" s="21"/>
      <c r="S118" s="10"/>
      <c r="T118" s="22"/>
      <c r="U118" s="12"/>
      <c r="V118" s="21"/>
      <c r="W118" s="10"/>
      <c r="X118" s="23"/>
    </row>
    <row r="119" spans="1:24" ht="15.6">
      <c r="A119" s="8"/>
      <c r="B119" s="21"/>
      <c r="C119" s="10"/>
      <c r="D119" s="22"/>
      <c r="E119" s="12"/>
      <c r="F119" s="21"/>
      <c r="G119" s="10"/>
      <c r="H119" s="22"/>
      <c r="I119" s="12"/>
      <c r="J119" s="21"/>
      <c r="K119" s="10"/>
      <c r="L119" s="22"/>
      <c r="M119" s="12"/>
      <c r="N119" s="21"/>
      <c r="O119" s="10"/>
      <c r="P119" s="22"/>
      <c r="Q119" s="12"/>
      <c r="R119" s="21"/>
      <c r="S119" s="10"/>
      <c r="T119" s="22"/>
      <c r="U119" s="12"/>
      <c r="V119" s="21"/>
      <c r="W119" s="10"/>
      <c r="X119" s="23"/>
    </row>
    <row r="120" spans="1:24" ht="16.2" thickBot="1">
      <c r="A120" s="37" t="s">
        <v>17</v>
      </c>
      <c r="B120" s="76">
        <f>SUM(B$61:B$119)</f>
        <v>0</v>
      </c>
      <c r="C120" s="39" t="str">
        <f>A120</f>
        <v xml:space="preserve">Summe + </v>
      </c>
      <c r="D120" s="76">
        <f>SUM(D$61:D$119)</f>
        <v>0</v>
      </c>
      <c r="E120" s="40" t="s">
        <v>23</v>
      </c>
      <c r="F120" s="76">
        <f>SUM(F$61:F$119)</f>
        <v>0</v>
      </c>
      <c r="G120" s="39" t="str">
        <f>A120</f>
        <v xml:space="preserve">Summe + </v>
      </c>
      <c r="H120" s="76">
        <f>SUM(H$61:H$119)</f>
        <v>0</v>
      </c>
      <c r="I120" s="40" t="str">
        <f>A120</f>
        <v xml:space="preserve">Summe + </v>
      </c>
      <c r="J120" s="76">
        <f>SUM(J$61:J$119)</f>
        <v>0</v>
      </c>
      <c r="K120" s="42" t="str">
        <f>A120</f>
        <v xml:space="preserve">Summe + </v>
      </c>
      <c r="L120" s="76">
        <f>SUM(L$61:L$119)</f>
        <v>0</v>
      </c>
      <c r="M120" s="40" t="str">
        <f>A120</f>
        <v xml:space="preserve">Summe + </v>
      </c>
      <c r="N120" s="76">
        <f>SUM(N$61:N$119)</f>
        <v>0</v>
      </c>
      <c r="O120" s="39" t="str">
        <f>A120</f>
        <v xml:space="preserve">Summe + </v>
      </c>
      <c r="P120" s="76">
        <f>SUM(P$61:P$119)</f>
        <v>0</v>
      </c>
      <c r="Q120" s="40" t="str">
        <f>A120</f>
        <v xml:space="preserve">Summe + </v>
      </c>
      <c r="R120" s="76">
        <f>SUM(R$61:R$119)</f>
        <v>0</v>
      </c>
      <c r="S120" s="39" t="str">
        <f>A120</f>
        <v xml:space="preserve">Summe + </v>
      </c>
      <c r="T120" s="76">
        <f>SUM(T$61:T$119)</f>
        <v>0</v>
      </c>
      <c r="U120" s="40" t="str">
        <f>A120</f>
        <v xml:space="preserve">Summe + </v>
      </c>
      <c r="V120" s="76">
        <f>SUM(V$61:V$119)</f>
        <v>0</v>
      </c>
      <c r="W120" s="39" t="str">
        <f>A120</f>
        <v xml:space="preserve">Summe + </v>
      </c>
      <c r="X120" s="77">
        <f>SUM(X$61:X$119)</f>
        <v>0</v>
      </c>
    </row>
    <row r="121" spans="1:24" ht="16.2" thickBot="1">
      <c r="A121" s="45" t="s">
        <v>5</v>
      </c>
      <c r="B121" s="46">
        <f>B60+B120</f>
        <v>0</v>
      </c>
      <c r="C121" s="47" t="str">
        <f>A121</f>
        <v>Summe</v>
      </c>
      <c r="D121" s="48">
        <f>D60+D120</f>
        <v>0</v>
      </c>
      <c r="E121" s="49" t="str">
        <f>A121</f>
        <v>Summe</v>
      </c>
      <c r="F121" s="46">
        <f>F60+F120</f>
        <v>0</v>
      </c>
      <c r="G121" s="47" t="str">
        <f>A121</f>
        <v>Summe</v>
      </c>
      <c r="H121" s="48">
        <f>H60+H120</f>
        <v>0</v>
      </c>
      <c r="I121" s="49" t="str">
        <f>A121</f>
        <v>Summe</v>
      </c>
      <c r="J121" s="46">
        <f>J60+J120</f>
        <v>0</v>
      </c>
      <c r="K121" s="47" t="str">
        <f>A121</f>
        <v>Summe</v>
      </c>
      <c r="L121" s="48">
        <f>L60+L120</f>
        <v>0</v>
      </c>
      <c r="M121" s="49" t="str">
        <f>A121</f>
        <v>Summe</v>
      </c>
      <c r="N121" s="46">
        <f>N60+N120</f>
        <v>0</v>
      </c>
      <c r="O121" s="47" t="str">
        <f>A121</f>
        <v>Summe</v>
      </c>
      <c r="P121" s="48">
        <f>P60+P120</f>
        <v>0</v>
      </c>
      <c r="Q121" s="49" t="str">
        <f>A121</f>
        <v>Summe</v>
      </c>
      <c r="R121" s="46">
        <f>R60+R120</f>
        <v>0</v>
      </c>
      <c r="S121" s="47" t="str">
        <f>A121</f>
        <v>Summe</v>
      </c>
      <c r="T121" s="48">
        <f>T60+T120</f>
        <v>0</v>
      </c>
      <c r="U121" s="49" t="str">
        <f>A121</f>
        <v>Summe</v>
      </c>
      <c r="V121" s="46">
        <f>V60+V120</f>
        <v>0</v>
      </c>
      <c r="W121" s="47" t="str">
        <f>A121</f>
        <v>Summe</v>
      </c>
      <c r="X121" s="50">
        <f>X60+X120</f>
        <v>0</v>
      </c>
    </row>
    <row r="122" spans="1:24" ht="15" thickTop="1"/>
    <row r="128" spans="1:24" ht="15.6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</row>
    <row r="129" spans="1:11" ht="15.6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</row>
    <row r="130" spans="1:11" ht="15.6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</row>
    <row r="131" spans="1:11" ht="15.6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</row>
    <row r="132" spans="1:11" ht="15.6">
      <c r="F132" s="25" t="s">
        <v>7</v>
      </c>
      <c r="G132" s="26" t="s">
        <v>10</v>
      </c>
      <c r="H132" s="26" t="s">
        <v>9</v>
      </c>
      <c r="I132" s="26" t="s">
        <v>11</v>
      </c>
      <c r="J132" s="26" t="s">
        <v>12</v>
      </c>
      <c r="K132" s="24"/>
    </row>
    <row r="133" spans="1:11" ht="15.6">
      <c r="F133" s="1">
        <v>1</v>
      </c>
      <c r="G133" s="28">
        <f>$B$60</f>
        <v>0</v>
      </c>
      <c r="H133" s="28">
        <f>$B$120</f>
        <v>0</v>
      </c>
      <c r="I133" s="1">
        <f>H133+G133</f>
        <v>0</v>
      </c>
      <c r="J133" s="27">
        <f>AVERAGE(I138:I140)</f>
        <v>0</v>
      </c>
      <c r="K133" s="24"/>
    </row>
    <row r="134" spans="1:11" ht="15.6">
      <c r="F134" s="1">
        <v>2</v>
      </c>
      <c r="G134" s="28">
        <f>$D$60</f>
        <v>0</v>
      </c>
      <c r="H134" s="28">
        <f>$D$120</f>
        <v>0</v>
      </c>
      <c r="I134" s="1">
        <f t="shared" ref="I134:I144" si="0">H134+G134</f>
        <v>0</v>
      </c>
      <c r="J134" s="27">
        <f t="shared" ref="J134:J144" si="1">J133</f>
        <v>0</v>
      </c>
      <c r="K134" s="24"/>
    </row>
    <row r="135" spans="1:11" ht="15.6">
      <c r="F135" s="1">
        <v>3</v>
      </c>
      <c r="G135" s="28">
        <f>$F$60</f>
        <v>0</v>
      </c>
      <c r="H135" s="28">
        <f>$F$120</f>
        <v>0</v>
      </c>
      <c r="I135" s="1">
        <f t="shared" si="0"/>
        <v>0</v>
      </c>
      <c r="J135" s="27">
        <f t="shared" si="1"/>
        <v>0</v>
      </c>
      <c r="K135" s="24"/>
    </row>
    <row r="136" spans="1:11" ht="15.6">
      <c r="F136" s="1">
        <v>4</v>
      </c>
      <c r="G136" s="28">
        <f>$H$60</f>
        <v>0</v>
      </c>
      <c r="H136" s="28">
        <f>$H$120</f>
        <v>0</v>
      </c>
      <c r="I136" s="1">
        <f t="shared" si="0"/>
        <v>0</v>
      </c>
      <c r="J136" s="27">
        <f t="shared" si="1"/>
        <v>0</v>
      </c>
      <c r="K136" s="24"/>
    </row>
    <row r="137" spans="1:11" ht="15.6">
      <c r="F137" s="1">
        <v>5</v>
      </c>
      <c r="G137" s="28">
        <f>$J$60</f>
        <v>0</v>
      </c>
      <c r="H137" s="28">
        <f>$J$120</f>
        <v>0</v>
      </c>
      <c r="I137" s="1">
        <f t="shared" si="0"/>
        <v>0</v>
      </c>
      <c r="J137" s="27">
        <f t="shared" si="1"/>
        <v>0</v>
      </c>
      <c r="K137" s="24"/>
    </row>
    <row r="138" spans="1:11" ht="15.6">
      <c r="F138" s="1">
        <v>6</v>
      </c>
      <c r="G138" s="28">
        <f>$L$60</f>
        <v>0</v>
      </c>
      <c r="H138" s="28">
        <f>$L$120</f>
        <v>0</v>
      </c>
      <c r="I138" s="29">
        <f t="shared" si="0"/>
        <v>0</v>
      </c>
      <c r="J138" s="27">
        <f t="shared" si="1"/>
        <v>0</v>
      </c>
      <c r="K138" s="24"/>
    </row>
    <row r="139" spans="1:11" ht="15.6">
      <c r="F139" s="1">
        <v>7</v>
      </c>
      <c r="G139" s="28">
        <f>$N$60</f>
        <v>0</v>
      </c>
      <c r="H139" s="28">
        <f>$N$120</f>
        <v>0</v>
      </c>
      <c r="I139" s="30">
        <f t="shared" si="0"/>
        <v>0</v>
      </c>
      <c r="J139" s="27">
        <f t="shared" si="1"/>
        <v>0</v>
      </c>
      <c r="K139" s="24"/>
    </row>
    <row r="140" spans="1:11" ht="15.6">
      <c r="F140" s="1">
        <v>8</v>
      </c>
      <c r="G140" s="28">
        <f>$P$60</f>
        <v>0</v>
      </c>
      <c r="H140" s="28">
        <f>$P$120</f>
        <v>0</v>
      </c>
      <c r="I140" s="1">
        <f t="shared" si="0"/>
        <v>0</v>
      </c>
      <c r="J140" s="27">
        <f t="shared" si="1"/>
        <v>0</v>
      </c>
      <c r="K140" s="24"/>
    </row>
    <row r="141" spans="1:11" ht="15.6">
      <c r="F141" s="1">
        <v>9</v>
      </c>
      <c r="G141" s="28">
        <f>$R$60</f>
        <v>0</v>
      </c>
      <c r="H141" s="28">
        <f>$R$120</f>
        <v>0</v>
      </c>
      <c r="I141" s="1">
        <f t="shared" si="0"/>
        <v>0</v>
      </c>
      <c r="J141" s="27">
        <f t="shared" si="1"/>
        <v>0</v>
      </c>
      <c r="K141" s="24"/>
    </row>
    <row r="142" spans="1:11" ht="15.6">
      <c r="F142" s="1">
        <v>10</v>
      </c>
      <c r="G142" s="28">
        <f>$T$60</f>
        <v>0</v>
      </c>
      <c r="H142" s="28">
        <f>$T$120</f>
        <v>0</v>
      </c>
      <c r="I142" s="1">
        <f t="shared" si="0"/>
        <v>0</v>
      </c>
      <c r="J142" s="27">
        <f t="shared" si="1"/>
        <v>0</v>
      </c>
      <c r="K142" s="24"/>
    </row>
    <row r="143" spans="1:11" ht="15.6">
      <c r="F143" s="1">
        <v>11</v>
      </c>
      <c r="G143" s="28">
        <f>$V$60</f>
        <v>0</v>
      </c>
      <c r="H143" s="28">
        <f>$V$120</f>
        <v>0</v>
      </c>
      <c r="I143" s="1">
        <f t="shared" si="0"/>
        <v>0</v>
      </c>
      <c r="J143" s="27">
        <f t="shared" si="1"/>
        <v>0</v>
      </c>
      <c r="K143" s="24"/>
    </row>
    <row r="144" spans="1:11" ht="15.6">
      <c r="F144" s="1">
        <v>12</v>
      </c>
      <c r="G144" s="28">
        <f>$X$60</f>
        <v>0</v>
      </c>
      <c r="H144" s="28">
        <f>$X$120</f>
        <v>0</v>
      </c>
      <c r="I144" s="1">
        <f t="shared" si="0"/>
        <v>0</v>
      </c>
      <c r="J144" s="27">
        <f t="shared" si="1"/>
        <v>0</v>
      </c>
      <c r="K144" s="24"/>
    </row>
  </sheetData>
  <mergeCells count="14">
    <mergeCell ref="U10:V10"/>
    <mergeCell ref="W10:X10"/>
    <mergeCell ref="I10:J10"/>
    <mergeCell ref="K10:L10"/>
    <mergeCell ref="M10:N10"/>
    <mergeCell ref="O10:P10"/>
    <mergeCell ref="Q10:R10"/>
    <mergeCell ref="S10:T10"/>
    <mergeCell ref="G10:H10"/>
    <mergeCell ref="B2:C2"/>
    <mergeCell ref="B3:C3"/>
    <mergeCell ref="A10:B10"/>
    <mergeCell ref="C10:D10"/>
    <mergeCell ref="E10:F10"/>
  </mergeCells>
  <conditionalFormatting sqref="B2:B3">
    <cfRule type="cellIs" dxfId="47" priority="82" operator="lessThan">
      <formula>0</formula>
    </cfRule>
    <cfRule type="cellIs" dxfId="46" priority="83" operator="lessThan">
      <formula>0</formula>
    </cfRule>
  </conditionalFormatting>
  <conditionalFormatting sqref="B2:B3">
    <cfRule type="cellIs" dxfId="45" priority="81" operator="lessThan">
      <formula>0</formula>
    </cfRule>
  </conditionalFormatting>
  <conditionalFormatting sqref="B3">
    <cfRule type="cellIs" dxfId="44" priority="80" operator="greaterThan">
      <formula>0</formula>
    </cfRule>
  </conditionalFormatting>
  <conditionalFormatting sqref="B12:B119 D12:D119 F12:F119 H12:H119 J12:J119 L12:L119">
    <cfRule type="cellIs" dxfId="43" priority="43" operator="greaterThan">
      <formula>0</formula>
    </cfRule>
    <cfRule type="cellIs" dxfId="42" priority="44" operator="lessThan">
      <formula>0</formula>
    </cfRule>
  </conditionalFormatting>
  <conditionalFormatting sqref="B12:B119 D12:D119 F12:F119 H12:H119 J12:J119 L12:L119">
    <cfRule type="cellIs" dxfId="41" priority="42" operator="equal">
      <formula>0</formula>
    </cfRule>
  </conditionalFormatting>
  <conditionalFormatting sqref="F132:J144 K134:L144 K132:K133 A10:L131">
    <cfRule type="cellIs" dxfId="40" priority="40" operator="lessThan">
      <formula>0</formula>
    </cfRule>
    <cfRule type="cellIs" dxfId="39" priority="41" operator="lessThan">
      <formula>0</formula>
    </cfRule>
  </conditionalFormatting>
  <conditionalFormatting sqref="F132:J144 K134:L144 K132:K133 A10:L131">
    <cfRule type="cellIs" dxfId="38" priority="39" operator="lessThan">
      <formula>0</formula>
    </cfRule>
  </conditionalFormatting>
  <conditionalFormatting sqref="B12:B121 G133:J144 D12:D121 F12:F121 H12:H121 L12:L121 J12:J121">
    <cfRule type="cellIs" dxfId="37" priority="38" operator="greaterThan">
      <formula>0</formula>
    </cfRule>
  </conditionalFormatting>
  <conditionalFormatting sqref="N120">
    <cfRule type="cellIs" dxfId="36" priority="35" operator="greaterThan">
      <formula>0</formula>
    </cfRule>
    <cfRule type="cellIs" dxfId="35" priority="36" operator="greaterThan">
      <formula>1287.38</formula>
    </cfRule>
    <cfRule type="cellIs" dxfId="34" priority="37" operator="lessThan">
      <formula>0</formula>
    </cfRule>
  </conditionalFormatting>
  <conditionalFormatting sqref="P12:P119 R12:R119 T12:T119 V12:V119 X12:X119 N12:N119">
    <cfRule type="cellIs" dxfId="33" priority="33" operator="equal">
      <formula>0</formula>
    </cfRule>
    <cfRule type="cellIs" dxfId="32" priority="34" operator="greaterThan">
      <formula>0</formula>
    </cfRule>
  </conditionalFormatting>
  <conditionalFormatting sqref="M17:M21">
    <cfRule type="cellIs" dxfId="31" priority="32" operator="lessThan">
      <formula>0</formula>
    </cfRule>
  </conditionalFormatting>
  <conditionalFormatting sqref="M10:X121">
    <cfRule type="cellIs" dxfId="30" priority="30" operator="lessThan">
      <formula>0</formula>
    </cfRule>
    <cfRule type="cellIs" dxfId="29" priority="31" operator="lessThan">
      <formula>0</formula>
    </cfRule>
  </conditionalFormatting>
  <conditionalFormatting sqref="M10:X121">
    <cfRule type="cellIs" dxfId="28" priority="29" operator="lessThan">
      <formula>0</formula>
    </cfRule>
  </conditionalFormatting>
  <conditionalFormatting sqref="P12:P121 R12:R121 T12:T121 V12:V121 X12:X121 N12:N121">
    <cfRule type="cellIs" dxfId="27" priority="28" operator="greaterThan">
      <formula>0</formula>
    </cfRule>
  </conditionalFormatting>
  <conditionalFormatting sqref="G133:J144">
    <cfRule type="cellIs" dxfId="26" priority="27" operator="equal">
      <formula>0</formula>
    </cfRule>
  </conditionalFormatting>
  <conditionalFormatting sqref="B120 D120 F120 H120 L120 N120 P120 R120 T120 V120 X120">
    <cfRule type="cellIs" dxfId="25" priority="26" operator="equal">
      <formula>0</formula>
    </cfRule>
  </conditionalFormatting>
  <conditionalFormatting sqref="J120">
    <cfRule type="cellIs" dxfId="24" priority="25" operator="equal">
      <formula>0</formula>
    </cfRule>
  </conditionalFormatting>
  <conditionalFormatting sqref="N120">
    <cfRule type="cellIs" dxfId="23" priority="23" operator="lessThan">
      <formula>0</formula>
    </cfRule>
    <cfRule type="cellIs" dxfId="22" priority="24" operator="lessThan">
      <formula>0</formula>
    </cfRule>
  </conditionalFormatting>
  <conditionalFormatting sqref="N120">
    <cfRule type="cellIs" dxfId="21" priority="22" operator="lessThan">
      <formula>0</formula>
    </cfRule>
  </conditionalFormatting>
  <conditionalFormatting sqref="N120">
    <cfRule type="cellIs" dxfId="20" priority="21" operator="greaterThan">
      <formula>0</formula>
    </cfRule>
  </conditionalFormatting>
  <conditionalFormatting sqref="P120">
    <cfRule type="cellIs" dxfId="19" priority="19" operator="lessThan">
      <formula>0</formula>
    </cfRule>
    <cfRule type="cellIs" dxfId="18" priority="20" operator="lessThan">
      <formula>0</formula>
    </cfRule>
  </conditionalFormatting>
  <conditionalFormatting sqref="P120">
    <cfRule type="cellIs" dxfId="17" priority="18" operator="lessThan">
      <formula>0</formula>
    </cfRule>
  </conditionalFormatting>
  <conditionalFormatting sqref="P120">
    <cfRule type="cellIs" dxfId="16" priority="17" operator="greaterThan">
      <formula>0</formula>
    </cfRule>
  </conditionalFormatting>
  <conditionalFormatting sqref="R120">
    <cfRule type="cellIs" dxfId="15" priority="15" operator="lessThan">
      <formula>0</formula>
    </cfRule>
    <cfRule type="cellIs" dxfId="14" priority="16" operator="lessThan">
      <formula>0</formula>
    </cfRule>
  </conditionalFormatting>
  <conditionalFormatting sqref="R120">
    <cfRule type="cellIs" dxfId="13" priority="14" operator="lessThan">
      <formula>0</formula>
    </cfRule>
  </conditionalFormatting>
  <conditionalFormatting sqref="R120">
    <cfRule type="cellIs" dxfId="12" priority="13" operator="greaterThan">
      <formula>0</formula>
    </cfRule>
  </conditionalFormatting>
  <conditionalFormatting sqref="T120">
    <cfRule type="cellIs" dxfId="11" priority="11" operator="lessThan">
      <formula>0</formula>
    </cfRule>
    <cfRule type="cellIs" dxfId="10" priority="12" operator="lessThan">
      <formula>0</formula>
    </cfRule>
  </conditionalFormatting>
  <conditionalFormatting sqref="T120">
    <cfRule type="cellIs" dxfId="9" priority="10" operator="lessThan">
      <formula>0</formula>
    </cfRule>
  </conditionalFormatting>
  <conditionalFormatting sqref="T120">
    <cfRule type="cellIs" dxfId="8" priority="9" operator="greaterThan">
      <formula>0</formula>
    </cfRule>
  </conditionalFormatting>
  <conditionalFormatting sqref="V120">
    <cfRule type="cellIs" dxfId="7" priority="7" operator="lessThan">
      <formula>0</formula>
    </cfRule>
    <cfRule type="cellIs" dxfId="6" priority="8" operator="lessThan">
      <formula>0</formula>
    </cfRule>
  </conditionalFormatting>
  <conditionalFormatting sqref="V120">
    <cfRule type="cellIs" dxfId="5" priority="6" operator="lessThan">
      <formula>0</formula>
    </cfRule>
  </conditionalFormatting>
  <conditionalFormatting sqref="V120">
    <cfRule type="cellIs" dxfId="4" priority="5" operator="greaterThan">
      <formula>0</formula>
    </cfRule>
  </conditionalFormatting>
  <conditionalFormatting sqref="X120">
    <cfRule type="cellIs" dxfId="3" priority="3" operator="lessThan">
      <formula>0</formula>
    </cfRule>
    <cfRule type="cellIs" dxfId="2" priority="4" operator="lessThan">
      <formula>0</formula>
    </cfRule>
  </conditionalFormatting>
  <conditionalFormatting sqref="X120">
    <cfRule type="cellIs" dxfId="1" priority="2" operator="lessThan">
      <formula>0</formula>
    </cfRule>
  </conditionalFormatting>
  <conditionalFormatting sqref="X120">
    <cfRule type="cellIs" dxfId="0" priority="1" operator="greaterThan">
      <formula>0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alc_Sum">
                <anchor moveWithCells="1" sizeWithCells="1">
                  <from>
                    <xdr:col>5</xdr:col>
                    <xdr:colOff>228600</xdr:colOff>
                    <xdr:row>1</xdr:row>
                    <xdr:rowOff>30480</xdr:rowOff>
                  </from>
                  <to>
                    <xdr:col>8</xdr:col>
                    <xdr:colOff>381000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DE95B-20C5-4329-97EB-35527A034A35}">
  <sheetPr codeName="Tabelle7"/>
  <dimension ref="A1:H660"/>
  <sheetViews>
    <sheetView workbookViewId="0">
      <selection activeCell="G5" sqref="G5"/>
    </sheetView>
  </sheetViews>
  <sheetFormatPr baseColWidth="10" defaultRowHeight="14.4"/>
  <cols>
    <col min="1" max="1" width="10.109375" style="79" customWidth="1"/>
    <col min="2" max="2" width="19.77734375" style="83" customWidth="1"/>
    <col min="3" max="3" width="15.6640625" customWidth="1"/>
    <col min="4" max="4" width="19.88671875" style="83" bestFit="1" customWidth="1"/>
  </cols>
  <sheetData>
    <row r="1" spans="1:4" ht="21.6" thickBot="1">
      <c r="A1" s="87" t="s">
        <v>36</v>
      </c>
      <c r="B1" s="88" t="s">
        <v>37</v>
      </c>
      <c r="C1" s="87" t="s">
        <v>38</v>
      </c>
      <c r="D1" s="88" t="s">
        <v>39</v>
      </c>
    </row>
    <row r="2" spans="1:4">
      <c r="A2" s="84"/>
      <c r="B2" s="85"/>
      <c r="C2" s="86"/>
      <c r="D2" s="85"/>
    </row>
    <row r="3" spans="1:4">
      <c r="A3" s="81"/>
      <c r="B3" s="82"/>
      <c r="C3" s="80"/>
      <c r="D3" s="82"/>
    </row>
    <row r="4" spans="1:4">
      <c r="A4" s="81"/>
      <c r="B4" s="82"/>
      <c r="C4" s="80"/>
      <c r="D4" s="82"/>
    </row>
    <row r="5" spans="1:4">
      <c r="A5" s="81"/>
      <c r="B5" s="82"/>
      <c r="C5" s="80"/>
      <c r="D5" s="82"/>
    </row>
    <row r="6" spans="1:4">
      <c r="A6" s="81"/>
      <c r="B6" s="82"/>
      <c r="C6" s="80"/>
      <c r="D6" s="82"/>
    </row>
    <row r="7" spans="1:4">
      <c r="A7" s="81"/>
      <c r="B7" s="82"/>
      <c r="C7" s="80"/>
      <c r="D7" s="82"/>
    </row>
    <row r="8" spans="1:4">
      <c r="A8" s="81"/>
      <c r="B8" s="82"/>
      <c r="C8" s="80"/>
      <c r="D8" s="82"/>
    </row>
    <row r="9" spans="1:4">
      <c r="A9" s="81"/>
      <c r="B9" s="82"/>
      <c r="C9" s="80"/>
      <c r="D9" s="82"/>
    </row>
    <row r="10" spans="1:4">
      <c r="A10" s="81"/>
      <c r="B10" s="82"/>
      <c r="C10" s="80"/>
      <c r="D10" s="82"/>
    </row>
    <row r="11" spans="1:4">
      <c r="A11" s="81"/>
      <c r="B11" s="82"/>
      <c r="C11" s="80"/>
      <c r="D11" s="82"/>
    </row>
    <row r="12" spans="1:4">
      <c r="A12" s="81"/>
      <c r="B12" s="82"/>
      <c r="C12" s="80"/>
      <c r="D12" s="82"/>
    </row>
    <row r="13" spans="1:4">
      <c r="A13" s="81"/>
      <c r="B13" s="82"/>
      <c r="C13" s="80"/>
      <c r="D13" s="82"/>
    </row>
    <row r="14" spans="1:4">
      <c r="A14" s="81"/>
      <c r="B14" s="82"/>
      <c r="C14" s="80"/>
      <c r="D14" s="82"/>
    </row>
    <row r="15" spans="1:4">
      <c r="A15" s="81"/>
      <c r="B15" s="82"/>
      <c r="C15" s="80"/>
      <c r="D15" s="82"/>
    </row>
    <row r="16" spans="1:4">
      <c r="A16" s="81"/>
      <c r="B16" s="82"/>
      <c r="C16" s="80"/>
      <c r="D16" s="82"/>
    </row>
    <row r="17" spans="1:8">
      <c r="A17" s="81"/>
      <c r="B17" s="82"/>
      <c r="C17" s="80"/>
      <c r="D17" s="82"/>
    </row>
    <row r="18" spans="1:8">
      <c r="A18" s="81"/>
      <c r="B18" s="82"/>
      <c r="C18" s="80"/>
      <c r="D18" s="82"/>
    </row>
    <row r="19" spans="1:8">
      <c r="A19" s="81"/>
      <c r="B19" s="82"/>
      <c r="C19" s="80"/>
      <c r="D19" s="82"/>
    </row>
    <row r="20" spans="1:8">
      <c r="A20" s="81"/>
      <c r="B20" s="82"/>
      <c r="C20" s="80"/>
      <c r="D20" s="82"/>
    </row>
    <row r="21" spans="1:8">
      <c r="A21" s="81"/>
      <c r="B21" s="82"/>
      <c r="C21" s="80"/>
      <c r="D21" s="82"/>
      <c r="H21" s="78"/>
    </row>
    <row r="22" spans="1:8">
      <c r="A22" s="81"/>
      <c r="B22" s="82"/>
      <c r="C22" s="80"/>
      <c r="D22" s="82"/>
    </row>
    <row r="23" spans="1:8">
      <c r="A23" s="81"/>
      <c r="B23" s="82"/>
      <c r="C23" s="80"/>
      <c r="D23" s="82"/>
    </row>
    <row r="24" spans="1:8">
      <c r="A24" s="81"/>
      <c r="B24" s="82"/>
      <c r="C24" s="80"/>
      <c r="D24" s="82"/>
    </row>
    <row r="25" spans="1:8">
      <c r="A25" s="81"/>
      <c r="B25" s="82"/>
      <c r="C25" s="80"/>
      <c r="D25" s="82"/>
    </row>
    <row r="26" spans="1:8">
      <c r="A26" s="81"/>
      <c r="B26" s="82"/>
      <c r="C26" s="80"/>
      <c r="D26" s="82"/>
    </row>
    <row r="27" spans="1:8">
      <c r="A27" s="81"/>
      <c r="B27" s="82"/>
      <c r="C27" s="80"/>
      <c r="D27" s="82"/>
    </row>
    <row r="28" spans="1:8">
      <c r="A28" s="81"/>
      <c r="B28" s="82"/>
      <c r="C28" s="80"/>
      <c r="D28" s="82"/>
    </row>
    <row r="29" spans="1:8">
      <c r="A29" s="81"/>
      <c r="B29" s="82"/>
      <c r="C29" s="80"/>
      <c r="D29" s="82"/>
    </row>
    <row r="30" spans="1:8">
      <c r="A30" s="81"/>
      <c r="B30" s="82"/>
      <c r="C30" s="80"/>
      <c r="D30" s="82"/>
    </row>
    <row r="31" spans="1:8">
      <c r="A31" s="81"/>
      <c r="B31" s="82"/>
      <c r="C31" s="80"/>
      <c r="D31" s="82"/>
    </row>
    <row r="32" spans="1:8">
      <c r="A32" s="81"/>
      <c r="B32" s="82"/>
      <c r="C32" s="80"/>
      <c r="D32" s="82"/>
    </row>
    <row r="33" spans="1:4">
      <c r="A33" s="81"/>
      <c r="B33" s="82"/>
      <c r="C33" s="80"/>
      <c r="D33" s="82"/>
    </row>
    <row r="34" spans="1:4">
      <c r="A34" s="81"/>
      <c r="B34" s="82"/>
      <c r="C34" s="80"/>
      <c r="D34" s="82"/>
    </row>
    <row r="35" spans="1:4">
      <c r="A35" s="81"/>
      <c r="B35" s="82"/>
      <c r="C35" s="80"/>
      <c r="D35" s="82"/>
    </row>
    <row r="36" spans="1:4">
      <c r="A36" s="81"/>
      <c r="B36" s="82"/>
      <c r="C36" s="80"/>
      <c r="D36" s="82"/>
    </row>
    <row r="37" spans="1:4">
      <c r="A37" s="81"/>
      <c r="B37" s="82"/>
      <c r="C37" s="80"/>
      <c r="D37" s="82"/>
    </row>
    <row r="38" spans="1:4">
      <c r="A38" s="81"/>
      <c r="B38" s="82"/>
      <c r="C38" s="80"/>
      <c r="D38" s="82"/>
    </row>
    <row r="39" spans="1:4">
      <c r="A39" s="81"/>
      <c r="B39" s="82"/>
      <c r="C39" s="80"/>
      <c r="D39" s="82"/>
    </row>
    <row r="40" spans="1:4">
      <c r="A40" s="81"/>
      <c r="B40" s="82"/>
      <c r="C40" s="80"/>
      <c r="D40" s="82"/>
    </row>
    <row r="41" spans="1:4">
      <c r="A41" s="81"/>
      <c r="B41" s="82"/>
      <c r="C41" s="80"/>
      <c r="D41" s="82"/>
    </row>
    <row r="42" spans="1:4">
      <c r="A42" s="81"/>
      <c r="B42" s="82"/>
      <c r="C42" s="80"/>
      <c r="D42" s="82"/>
    </row>
    <row r="43" spans="1:4">
      <c r="A43" s="81"/>
      <c r="B43" s="82"/>
      <c r="C43" s="80"/>
      <c r="D43" s="82"/>
    </row>
    <row r="44" spans="1:4">
      <c r="A44" s="81"/>
      <c r="B44" s="82"/>
      <c r="C44" s="80"/>
      <c r="D44" s="82"/>
    </row>
    <row r="45" spans="1:4">
      <c r="A45" s="81"/>
      <c r="B45" s="82"/>
      <c r="C45" s="80"/>
      <c r="D45" s="82"/>
    </row>
    <row r="46" spans="1:4">
      <c r="A46" s="81"/>
      <c r="B46" s="82"/>
      <c r="C46" s="80"/>
      <c r="D46" s="82"/>
    </row>
    <row r="47" spans="1:4">
      <c r="A47" s="81"/>
      <c r="B47" s="82"/>
      <c r="C47" s="80"/>
      <c r="D47" s="82"/>
    </row>
    <row r="48" spans="1:4">
      <c r="A48" s="81"/>
      <c r="B48" s="82"/>
      <c r="C48" s="80"/>
      <c r="D48" s="82"/>
    </row>
    <row r="49" spans="1:4">
      <c r="A49" s="81"/>
      <c r="B49" s="82"/>
      <c r="C49" s="80"/>
      <c r="D49" s="82"/>
    </row>
    <row r="50" spans="1:4">
      <c r="A50" s="81"/>
      <c r="B50" s="82"/>
      <c r="C50" s="80"/>
      <c r="D50" s="82"/>
    </row>
    <row r="51" spans="1:4">
      <c r="A51" s="81"/>
      <c r="B51" s="82"/>
      <c r="C51" s="80"/>
      <c r="D51" s="82"/>
    </row>
    <row r="52" spans="1:4">
      <c r="A52" s="81"/>
      <c r="B52" s="82"/>
      <c r="C52" s="80"/>
      <c r="D52" s="82"/>
    </row>
    <row r="53" spans="1:4">
      <c r="A53" s="81"/>
      <c r="B53" s="82"/>
      <c r="C53" s="80"/>
      <c r="D53" s="82"/>
    </row>
    <row r="54" spans="1:4">
      <c r="A54" s="81"/>
      <c r="B54" s="82"/>
      <c r="C54" s="80"/>
      <c r="D54" s="82"/>
    </row>
    <row r="55" spans="1:4">
      <c r="A55" s="81"/>
      <c r="B55" s="82"/>
      <c r="C55" s="80"/>
      <c r="D55" s="82"/>
    </row>
    <row r="56" spans="1:4">
      <c r="A56" s="81"/>
      <c r="B56" s="82"/>
      <c r="C56" s="80"/>
      <c r="D56" s="82"/>
    </row>
    <row r="57" spans="1:4">
      <c r="A57" s="81"/>
      <c r="B57" s="82"/>
      <c r="C57" s="80"/>
      <c r="D57" s="82"/>
    </row>
    <row r="58" spans="1:4">
      <c r="A58" s="81"/>
      <c r="B58" s="82"/>
      <c r="C58" s="80"/>
      <c r="D58" s="82"/>
    </row>
    <row r="59" spans="1:4">
      <c r="A59" s="81"/>
      <c r="B59" s="82"/>
      <c r="C59" s="80"/>
      <c r="D59" s="82"/>
    </row>
    <row r="60" spans="1:4">
      <c r="A60" s="81"/>
      <c r="B60" s="82"/>
      <c r="C60" s="80"/>
      <c r="D60" s="82"/>
    </row>
    <row r="61" spans="1:4">
      <c r="A61" s="81"/>
      <c r="B61" s="82"/>
      <c r="C61" s="80"/>
      <c r="D61" s="82"/>
    </row>
    <row r="62" spans="1:4">
      <c r="A62" s="81"/>
      <c r="B62" s="82"/>
      <c r="C62" s="80"/>
      <c r="D62" s="82"/>
    </row>
    <row r="63" spans="1:4">
      <c r="A63" s="81"/>
      <c r="B63" s="82"/>
      <c r="C63" s="80"/>
      <c r="D63" s="82"/>
    </row>
    <row r="64" spans="1:4">
      <c r="A64" s="81"/>
      <c r="B64" s="82"/>
      <c r="C64" s="80"/>
      <c r="D64" s="82"/>
    </row>
    <row r="65" spans="1:4">
      <c r="A65" s="81"/>
      <c r="B65" s="82"/>
      <c r="C65" s="80"/>
      <c r="D65" s="82"/>
    </row>
    <row r="66" spans="1:4">
      <c r="A66" s="81"/>
      <c r="B66" s="82"/>
      <c r="C66" s="80"/>
      <c r="D66" s="82"/>
    </row>
    <row r="67" spans="1:4">
      <c r="A67" s="81"/>
      <c r="B67" s="82"/>
      <c r="C67" s="80"/>
      <c r="D67" s="82"/>
    </row>
    <row r="68" spans="1:4">
      <c r="A68" s="81"/>
      <c r="B68" s="82"/>
      <c r="C68" s="80"/>
      <c r="D68" s="82"/>
    </row>
    <row r="69" spans="1:4">
      <c r="A69" s="81"/>
      <c r="B69" s="82"/>
      <c r="C69" s="80"/>
      <c r="D69" s="82"/>
    </row>
    <row r="70" spans="1:4">
      <c r="A70" s="81"/>
      <c r="B70" s="82"/>
      <c r="C70" s="80"/>
      <c r="D70" s="82"/>
    </row>
    <row r="71" spans="1:4">
      <c r="A71" s="81"/>
      <c r="B71" s="82"/>
      <c r="C71" s="80"/>
      <c r="D71" s="82"/>
    </row>
    <row r="72" spans="1:4">
      <c r="A72" s="81"/>
      <c r="B72" s="82"/>
      <c r="C72" s="80"/>
      <c r="D72" s="82"/>
    </row>
    <row r="73" spans="1:4">
      <c r="A73" s="81"/>
      <c r="B73" s="82"/>
      <c r="C73" s="80"/>
      <c r="D73" s="82"/>
    </row>
    <row r="74" spans="1:4">
      <c r="A74" s="81"/>
      <c r="B74" s="82"/>
      <c r="C74" s="80"/>
      <c r="D74" s="82"/>
    </row>
    <row r="75" spans="1:4">
      <c r="A75" s="81"/>
      <c r="B75" s="82"/>
      <c r="C75" s="80"/>
      <c r="D75" s="82"/>
    </row>
    <row r="76" spans="1:4">
      <c r="A76" s="81"/>
      <c r="B76" s="82"/>
      <c r="C76" s="80"/>
      <c r="D76" s="82"/>
    </row>
    <row r="77" spans="1:4">
      <c r="A77" s="81"/>
      <c r="B77" s="82"/>
      <c r="C77" s="80"/>
      <c r="D77" s="82"/>
    </row>
    <row r="78" spans="1:4">
      <c r="A78" s="81"/>
      <c r="B78" s="82"/>
      <c r="C78" s="80"/>
      <c r="D78" s="82"/>
    </row>
    <row r="79" spans="1:4">
      <c r="A79" s="81"/>
      <c r="B79" s="82"/>
      <c r="C79" s="80"/>
      <c r="D79" s="82"/>
    </row>
    <row r="80" spans="1:4">
      <c r="A80" s="81"/>
      <c r="B80" s="82"/>
      <c r="C80" s="80"/>
      <c r="D80" s="82"/>
    </row>
    <row r="81" spans="1:4">
      <c r="A81" s="81"/>
      <c r="B81" s="82"/>
      <c r="C81" s="80"/>
      <c r="D81" s="82"/>
    </row>
    <row r="82" spans="1:4">
      <c r="A82" s="81"/>
      <c r="B82" s="82"/>
      <c r="C82" s="80"/>
      <c r="D82" s="82"/>
    </row>
    <row r="83" spans="1:4">
      <c r="A83" s="81"/>
      <c r="B83" s="82"/>
      <c r="C83" s="80"/>
      <c r="D83" s="82"/>
    </row>
    <row r="84" spans="1:4">
      <c r="A84" s="81"/>
      <c r="B84" s="82"/>
      <c r="C84" s="80"/>
      <c r="D84" s="82"/>
    </row>
    <row r="85" spans="1:4">
      <c r="A85" s="81"/>
      <c r="B85" s="82"/>
      <c r="C85" s="80"/>
      <c r="D85" s="82"/>
    </row>
    <row r="86" spans="1:4">
      <c r="A86" s="81"/>
      <c r="B86" s="82"/>
      <c r="C86" s="80"/>
      <c r="D86" s="82"/>
    </row>
    <row r="87" spans="1:4">
      <c r="A87" s="81"/>
      <c r="B87" s="82"/>
      <c r="C87" s="80"/>
      <c r="D87" s="82"/>
    </row>
    <row r="88" spans="1:4">
      <c r="A88" s="81"/>
      <c r="B88" s="82"/>
      <c r="C88" s="80"/>
      <c r="D88" s="82"/>
    </row>
    <row r="89" spans="1:4">
      <c r="A89" s="81"/>
      <c r="B89" s="82"/>
      <c r="C89" s="80"/>
      <c r="D89" s="82"/>
    </row>
    <row r="90" spans="1:4">
      <c r="A90" s="81"/>
      <c r="B90" s="82"/>
      <c r="C90" s="80"/>
      <c r="D90" s="82"/>
    </row>
    <row r="91" spans="1:4">
      <c r="A91" s="81"/>
      <c r="B91" s="82"/>
      <c r="C91" s="80"/>
      <c r="D91" s="82"/>
    </row>
    <row r="92" spans="1:4">
      <c r="A92" s="81"/>
      <c r="B92" s="82"/>
      <c r="C92" s="80"/>
      <c r="D92" s="82"/>
    </row>
    <row r="93" spans="1:4">
      <c r="A93" s="81"/>
      <c r="B93" s="82"/>
      <c r="C93" s="80"/>
      <c r="D93" s="82"/>
    </row>
    <row r="94" spans="1:4">
      <c r="A94" s="81"/>
      <c r="B94" s="82"/>
      <c r="C94" s="80"/>
      <c r="D94" s="82"/>
    </row>
    <row r="95" spans="1:4">
      <c r="A95" s="81"/>
      <c r="B95" s="82"/>
      <c r="C95" s="80"/>
      <c r="D95" s="82"/>
    </row>
    <row r="96" spans="1:4">
      <c r="A96" s="81"/>
      <c r="B96" s="82"/>
      <c r="C96" s="80"/>
      <c r="D96" s="82"/>
    </row>
    <row r="97" spans="1:4">
      <c r="A97" s="81"/>
      <c r="B97" s="82"/>
      <c r="C97" s="80"/>
      <c r="D97" s="82"/>
    </row>
    <row r="98" spans="1:4">
      <c r="A98" s="81"/>
      <c r="B98" s="82"/>
      <c r="C98" s="80"/>
      <c r="D98" s="82"/>
    </row>
    <row r="99" spans="1:4">
      <c r="A99" s="81"/>
      <c r="B99" s="82"/>
      <c r="C99" s="80"/>
      <c r="D99" s="82"/>
    </row>
    <row r="100" spans="1:4">
      <c r="A100" s="81"/>
      <c r="B100" s="82"/>
      <c r="C100" s="80"/>
      <c r="D100" s="82"/>
    </row>
    <row r="101" spans="1:4">
      <c r="A101" s="81"/>
      <c r="B101" s="82"/>
      <c r="C101" s="80"/>
      <c r="D101" s="82"/>
    </row>
    <row r="102" spans="1:4">
      <c r="A102" s="81"/>
      <c r="B102" s="82"/>
      <c r="C102" s="80"/>
      <c r="D102" s="82"/>
    </row>
    <row r="103" spans="1:4">
      <c r="A103" s="81"/>
      <c r="B103" s="82"/>
      <c r="C103" s="80"/>
      <c r="D103" s="82"/>
    </row>
    <row r="104" spans="1:4">
      <c r="A104" s="81"/>
      <c r="B104" s="82"/>
      <c r="C104" s="80"/>
      <c r="D104" s="82"/>
    </row>
    <row r="105" spans="1:4">
      <c r="A105" s="81"/>
      <c r="B105" s="82"/>
      <c r="C105" s="80"/>
      <c r="D105" s="82"/>
    </row>
    <row r="106" spans="1:4">
      <c r="A106" s="81"/>
      <c r="B106" s="82"/>
      <c r="C106" s="80"/>
      <c r="D106" s="82"/>
    </row>
    <row r="107" spans="1:4">
      <c r="A107" s="81"/>
      <c r="B107" s="82"/>
      <c r="C107" s="80"/>
      <c r="D107" s="82"/>
    </row>
    <row r="108" spans="1:4">
      <c r="A108" s="81"/>
      <c r="B108" s="82"/>
      <c r="C108" s="80"/>
      <c r="D108" s="82"/>
    </row>
    <row r="109" spans="1:4">
      <c r="A109" s="81"/>
      <c r="B109" s="82"/>
      <c r="C109" s="80"/>
      <c r="D109" s="82"/>
    </row>
    <row r="110" spans="1:4">
      <c r="A110" s="81"/>
      <c r="B110" s="82"/>
      <c r="C110" s="80"/>
      <c r="D110" s="82"/>
    </row>
    <row r="111" spans="1:4">
      <c r="A111" s="81"/>
      <c r="B111" s="82"/>
      <c r="C111" s="80"/>
      <c r="D111" s="82"/>
    </row>
    <row r="112" spans="1:4">
      <c r="A112" s="81"/>
      <c r="B112" s="82"/>
      <c r="C112" s="80"/>
      <c r="D112" s="82"/>
    </row>
    <row r="113" spans="1:4">
      <c r="A113" s="81"/>
      <c r="B113" s="82"/>
      <c r="C113" s="80"/>
      <c r="D113" s="82"/>
    </row>
    <row r="114" spans="1:4">
      <c r="A114" s="81"/>
      <c r="B114" s="82"/>
      <c r="C114" s="80"/>
      <c r="D114" s="82"/>
    </row>
    <row r="115" spans="1:4">
      <c r="A115" s="81"/>
      <c r="B115" s="82"/>
      <c r="C115" s="80"/>
      <c r="D115" s="82"/>
    </row>
    <row r="116" spans="1:4">
      <c r="A116" s="81"/>
      <c r="B116" s="82"/>
      <c r="C116" s="80"/>
      <c r="D116" s="82"/>
    </row>
    <row r="117" spans="1:4">
      <c r="A117" s="81"/>
      <c r="B117" s="82"/>
      <c r="C117" s="80"/>
      <c r="D117" s="82"/>
    </row>
    <row r="118" spans="1:4">
      <c r="A118" s="81"/>
      <c r="B118" s="82"/>
      <c r="C118" s="80"/>
      <c r="D118" s="82"/>
    </row>
    <row r="119" spans="1:4">
      <c r="A119" s="81"/>
      <c r="B119" s="82"/>
      <c r="C119" s="80"/>
      <c r="D119" s="82"/>
    </row>
    <row r="120" spans="1:4">
      <c r="A120" s="81"/>
      <c r="B120" s="82"/>
      <c r="C120" s="80"/>
      <c r="D120" s="82"/>
    </row>
    <row r="121" spans="1:4">
      <c r="A121" s="81"/>
      <c r="B121" s="82"/>
      <c r="C121" s="80"/>
      <c r="D121" s="82"/>
    </row>
    <row r="122" spans="1:4">
      <c r="A122" s="81"/>
      <c r="B122" s="82"/>
      <c r="C122" s="80"/>
      <c r="D122" s="82"/>
    </row>
    <row r="123" spans="1:4">
      <c r="A123" s="81"/>
      <c r="B123" s="82"/>
      <c r="C123" s="80"/>
      <c r="D123" s="82"/>
    </row>
    <row r="124" spans="1:4">
      <c r="A124" s="81"/>
      <c r="B124" s="82"/>
      <c r="C124" s="80"/>
      <c r="D124" s="82"/>
    </row>
    <row r="125" spans="1:4">
      <c r="A125" s="81"/>
      <c r="B125" s="82"/>
      <c r="C125" s="80"/>
      <c r="D125" s="82"/>
    </row>
    <row r="126" spans="1:4">
      <c r="A126" s="81"/>
      <c r="B126" s="82"/>
      <c r="C126" s="80"/>
      <c r="D126" s="82"/>
    </row>
    <row r="127" spans="1:4">
      <c r="A127" s="81"/>
      <c r="B127" s="82"/>
      <c r="C127" s="80"/>
      <c r="D127" s="82"/>
    </row>
    <row r="128" spans="1:4">
      <c r="A128" s="81"/>
      <c r="B128" s="82"/>
      <c r="C128" s="80"/>
      <c r="D128" s="82"/>
    </row>
    <row r="129" spans="1:4">
      <c r="A129" s="81"/>
      <c r="B129" s="82"/>
      <c r="C129" s="80"/>
      <c r="D129" s="82"/>
    </row>
    <row r="130" spans="1:4">
      <c r="A130" s="81"/>
      <c r="B130" s="82"/>
      <c r="C130" s="80"/>
      <c r="D130" s="82"/>
    </row>
    <row r="131" spans="1:4">
      <c r="A131" s="81"/>
      <c r="B131" s="82"/>
      <c r="C131" s="80"/>
      <c r="D131" s="82"/>
    </row>
    <row r="132" spans="1:4">
      <c r="A132" s="81"/>
      <c r="B132" s="82"/>
      <c r="C132" s="80"/>
      <c r="D132" s="82"/>
    </row>
    <row r="133" spans="1:4">
      <c r="A133" s="81"/>
      <c r="B133" s="82"/>
      <c r="C133" s="80"/>
      <c r="D133" s="82"/>
    </row>
    <row r="134" spans="1:4">
      <c r="A134" s="81"/>
      <c r="B134" s="82"/>
      <c r="C134" s="80"/>
      <c r="D134" s="82"/>
    </row>
    <row r="135" spans="1:4">
      <c r="A135" s="81"/>
      <c r="B135" s="82"/>
      <c r="C135" s="80"/>
      <c r="D135" s="82"/>
    </row>
    <row r="136" spans="1:4">
      <c r="A136" s="81"/>
      <c r="B136" s="82"/>
      <c r="C136" s="80"/>
      <c r="D136" s="82"/>
    </row>
    <row r="137" spans="1:4">
      <c r="A137" s="81"/>
      <c r="B137" s="82"/>
      <c r="C137" s="80"/>
      <c r="D137" s="82"/>
    </row>
    <row r="138" spans="1:4">
      <c r="A138" s="81"/>
      <c r="B138" s="82"/>
      <c r="C138" s="80"/>
      <c r="D138" s="82"/>
    </row>
    <row r="139" spans="1:4">
      <c r="A139" s="81"/>
      <c r="B139" s="82"/>
      <c r="C139" s="80"/>
      <c r="D139" s="82"/>
    </row>
    <row r="140" spans="1:4">
      <c r="A140" s="81"/>
      <c r="B140" s="82"/>
      <c r="C140" s="80"/>
      <c r="D140" s="82"/>
    </row>
    <row r="141" spans="1:4">
      <c r="A141" s="81"/>
      <c r="B141" s="82"/>
      <c r="C141" s="80"/>
      <c r="D141" s="82"/>
    </row>
    <row r="142" spans="1:4">
      <c r="A142" s="81"/>
      <c r="B142" s="82"/>
      <c r="C142" s="80"/>
      <c r="D142" s="82"/>
    </row>
    <row r="143" spans="1:4">
      <c r="A143" s="81"/>
      <c r="B143" s="82"/>
      <c r="C143" s="80"/>
      <c r="D143" s="82"/>
    </row>
    <row r="144" spans="1:4">
      <c r="A144" s="81"/>
      <c r="B144" s="82"/>
      <c r="C144" s="80"/>
      <c r="D144" s="82"/>
    </row>
    <row r="145" spans="1:4">
      <c r="A145" s="81"/>
      <c r="B145" s="82"/>
      <c r="C145" s="80"/>
      <c r="D145" s="82"/>
    </row>
    <row r="146" spans="1:4">
      <c r="A146" s="81"/>
      <c r="B146" s="82"/>
      <c r="C146" s="80"/>
      <c r="D146" s="82"/>
    </row>
    <row r="147" spans="1:4">
      <c r="A147" s="81"/>
      <c r="B147" s="82"/>
      <c r="C147" s="80"/>
      <c r="D147" s="82"/>
    </row>
    <row r="148" spans="1:4">
      <c r="A148" s="81"/>
      <c r="B148" s="82"/>
      <c r="C148" s="80"/>
      <c r="D148" s="82"/>
    </row>
    <row r="149" spans="1:4">
      <c r="A149" s="81"/>
      <c r="B149" s="82"/>
      <c r="C149" s="80"/>
      <c r="D149" s="82"/>
    </row>
    <row r="150" spans="1:4">
      <c r="A150" s="81"/>
      <c r="B150" s="82"/>
      <c r="C150" s="80"/>
      <c r="D150" s="82"/>
    </row>
    <row r="151" spans="1:4">
      <c r="A151" s="81"/>
      <c r="B151" s="82"/>
      <c r="C151" s="80"/>
      <c r="D151" s="82"/>
    </row>
    <row r="152" spans="1:4">
      <c r="A152" s="81"/>
      <c r="B152" s="82"/>
      <c r="C152" s="80"/>
      <c r="D152" s="82"/>
    </row>
    <row r="153" spans="1:4">
      <c r="A153" s="81"/>
      <c r="B153" s="82"/>
      <c r="C153" s="80"/>
      <c r="D153" s="82"/>
    </row>
    <row r="154" spans="1:4">
      <c r="A154" s="81"/>
      <c r="B154" s="82"/>
      <c r="C154" s="80"/>
      <c r="D154" s="82"/>
    </row>
    <row r="155" spans="1:4">
      <c r="A155" s="81"/>
      <c r="B155" s="82"/>
      <c r="C155" s="80"/>
      <c r="D155" s="82"/>
    </row>
    <row r="156" spans="1:4">
      <c r="A156" s="81"/>
      <c r="B156" s="82"/>
      <c r="C156" s="80"/>
      <c r="D156" s="82"/>
    </row>
    <row r="157" spans="1:4">
      <c r="A157" s="81"/>
      <c r="B157" s="82"/>
      <c r="C157" s="80"/>
      <c r="D157" s="82"/>
    </row>
    <row r="158" spans="1:4">
      <c r="A158" s="81"/>
      <c r="B158" s="82"/>
      <c r="C158" s="80"/>
      <c r="D158" s="82"/>
    </row>
    <row r="159" spans="1:4">
      <c r="A159" s="81"/>
      <c r="B159" s="82"/>
      <c r="C159" s="80"/>
      <c r="D159" s="82"/>
    </row>
    <row r="160" spans="1:4">
      <c r="A160" s="81"/>
      <c r="B160" s="82"/>
      <c r="C160" s="80"/>
      <c r="D160" s="82"/>
    </row>
    <row r="161" spans="1:4">
      <c r="A161" s="81"/>
      <c r="B161" s="82"/>
      <c r="C161" s="80"/>
      <c r="D161" s="82"/>
    </row>
    <row r="162" spans="1:4">
      <c r="A162" s="81"/>
      <c r="B162" s="82"/>
      <c r="C162" s="80"/>
      <c r="D162" s="82"/>
    </row>
    <row r="163" spans="1:4">
      <c r="A163" s="81"/>
      <c r="B163" s="82"/>
      <c r="C163" s="80"/>
      <c r="D163" s="82"/>
    </row>
    <row r="164" spans="1:4">
      <c r="A164" s="81"/>
      <c r="B164" s="82"/>
      <c r="C164" s="80"/>
      <c r="D164" s="82"/>
    </row>
    <row r="165" spans="1:4">
      <c r="A165" s="81"/>
      <c r="B165" s="82"/>
      <c r="C165" s="80"/>
      <c r="D165" s="82"/>
    </row>
    <row r="166" spans="1:4">
      <c r="A166" s="81"/>
      <c r="B166" s="82"/>
      <c r="C166" s="80"/>
      <c r="D166" s="82"/>
    </row>
    <row r="167" spans="1:4">
      <c r="A167" s="81"/>
      <c r="B167" s="82"/>
      <c r="C167" s="80"/>
      <c r="D167" s="82"/>
    </row>
    <row r="168" spans="1:4">
      <c r="A168" s="81"/>
      <c r="B168" s="82"/>
      <c r="C168" s="80"/>
      <c r="D168" s="82"/>
    </row>
    <row r="169" spans="1:4">
      <c r="A169" s="81"/>
      <c r="B169" s="82"/>
      <c r="C169" s="80"/>
      <c r="D169" s="82"/>
    </row>
    <row r="170" spans="1:4">
      <c r="A170" s="81"/>
      <c r="B170" s="82"/>
      <c r="C170" s="80"/>
      <c r="D170" s="82"/>
    </row>
    <row r="171" spans="1:4">
      <c r="A171" s="81"/>
      <c r="B171" s="82"/>
      <c r="C171" s="80"/>
      <c r="D171" s="82"/>
    </row>
    <row r="172" spans="1:4">
      <c r="A172" s="81"/>
      <c r="B172" s="82"/>
      <c r="C172" s="80"/>
      <c r="D172" s="82"/>
    </row>
    <row r="173" spans="1:4">
      <c r="A173" s="81"/>
      <c r="B173" s="82"/>
      <c r="C173" s="80"/>
      <c r="D173" s="82"/>
    </row>
    <row r="174" spans="1:4">
      <c r="A174" s="81"/>
      <c r="B174" s="82"/>
      <c r="C174" s="80"/>
      <c r="D174" s="82"/>
    </row>
    <row r="175" spans="1:4">
      <c r="A175" s="81"/>
      <c r="B175" s="82"/>
      <c r="C175" s="80"/>
      <c r="D175" s="82"/>
    </row>
    <row r="176" spans="1:4">
      <c r="A176" s="81"/>
      <c r="B176" s="82"/>
      <c r="C176" s="80"/>
      <c r="D176" s="82"/>
    </row>
    <row r="177" spans="1:4">
      <c r="A177" s="81"/>
      <c r="B177" s="82"/>
      <c r="C177" s="80"/>
      <c r="D177" s="82"/>
    </row>
    <row r="178" spans="1:4">
      <c r="A178" s="81"/>
      <c r="B178" s="82"/>
      <c r="C178" s="80"/>
      <c r="D178" s="82"/>
    </row>
    <row r="179" spans="1:4">
      <c r="A179" s="81"/>
      <c r="B179" s="82"/>
      <c r="C179" s="80"/>
      <c r="D179" s="82"/>
    </row>
    <row r="180" spans="1:4">
      <c r="A180" s="81"/>
      <c r="B180" s="82"/>
      <c r="C180" s="80"/>
      <c r="D180" s="82"/>
    </row>
    <row r="181" spans="1:4">
      <c r="A181" s="81"/>
      <c r="B181" s="82"/>
      <c r="C181" s="80"/>
      <c r="D181" s="82"/>
    </row>
    <row r="182" spans="1:4">
      <c r="A182" s="81"/>
      <c r="B182" s="82"/>
      <c r="C182" s="80"/>
      <c r="D182" s="82"/>
    </row>
    <row r="183" spans="1:4">
      <c r="A183" s="81"/>
      <c r="B183" s="82"/>
      <c r="C183" s="80"/>
      <c r="D183" s="82"/>
    </row>
    <row r="184" spans="1:4">
      <c r="A184" s="81"/>
      <c r="B184" s="82"/>
      <c r="C184" s="80"/>
      <c r="D184" s="82"/>
    </row>
    <row r="185" spans="1:4">
      <c r="A185" s="81"/>
      <c r="B185" s="82"/>
      <c r="C185" s="80"/>
      <c r="D185" s="82"/>
    </row>
    <row r="186" spans="1:4">
      <c r="A186" s="81"/>
      <c r="B186" s="82"/>
      <c r="C186" s="80"/>
      <c r="D186" s="82"/>
    </row>
    <row r="187" spans="1:4">
      <c r="A187" s="81"/>
      <c r="B187" s="82"/>
      <c r="C187" s="80"/>
      <c r="D187" s="82"/>
    </row>
    <row r="188" spans="1:4">
      <c r="A188" s="81"/>
      <c r="B188" s="82"/>
      <c r="C188" s="80"/>
      <c r="D188" s="82"/>
    </row>
    <row r="189" spans="1:4">
      <c r="A189" s="81"/>
      <c r="B189" s="82"/>
      <c r="C189" s="80"/>
      <c r="D189" s="82"/>
    </row>
    <row r="190" spans="1:4">
      <c r="A190" s="81"/>
      <c r="B190" s="82"/>
      <c r="C190" s="80"/>
      <c r="D190" s="82"/>
    </row>
    <row r="191" spans="1:4">
      <c r="A191" s="81"/>
      <c r="B191" s="82"/>
      <c r="C191" s="80"/>
      <c r="D191" s="82"/>
    </row>
    <row r="192" spans="1:4">
      <c r="A192" s="81"/>
      <c r="B192" s="82"/>
      <c r="C192" s="80"/>
      <c r="D192" s="82"/>
    </row>
    <row r="193" spans="1:4">
      <c r="A193" s="81"/>
      <c r="B193" s="82"/>
      <c r="C193" s="80"/>
      <c r="D193" s="82"/>
    </row>
    <row r="194" spans="1:4">
      <c r="A194" s="81"/>
      <c r="B194" s="82"/>
      <c r="C194" s="80"/>
      <c r="D194" s="82"/>
    </row>
    <row r="195" spans="1:4">
      <c r="A195" s="81"/>
      <c r="B195" s="82"/>
      <c r="C195" s="80"/>
      <c r="D195" s="82"/>
    </row>
    <row r="196" spans="1:4">
      <c r="A196" s="81"/>
      <c r="B196" s="82"/>
      <c r="C196" s="80"/>
      <c r="D196" s="82"/>
    </row>
    <row r="197" spans="1:4">
      <c r="A197" s="81"/>
      <c r="B197" s="82"/>
      <c r="C197" s="80"/>
      <c r="D197" s="82"/>
    </row>
    <row r="198" spans="1:4">
      <c r="A198" s="81"/>
      <c r="B198" s="82"/>
      <c r="C198" s="80"/>
      <c r="D198" s="82"/>
    </row>
    <row r="199" spans="1:4">
      <c r="A199" s="81"/>
      <c r="B199" s="82"/>
      <c r="C199" s="80"/>
      <c r="D199" s="82"/>
    </row>
    <row r="200" spans="1:4">
      <c r="A200" s="81"/>
      <c r="B200" s="82"/>
      <c r="C200" s="80"/>
      <c r="D200" s="82"/>
    </row>
    <row r="201" spans="1:4">
      <c r="A201" s="81"/>
      <c r="B201" s="82"/>
      <c r="C201" s="80"/>
      <c r="D201" s="82"/>
    </row>
    <row r="202" spans="1:4">
      <c r="A202" s="81"/>
      <c r="B202" s="82"/>
      <c r="C202" s="80"/>
      <c r="D202" s="82"/>
    </row>
    <row r="203" spans="1:4">
      <c r="A203" s="81"/>
      <c r="B203" s="82"/>
      <c r="C203" s="80"/>
      <c r="D203" s="82"/>
    </row>
    <row r="204" spans="1:4">
      <c r="A204" s="81"/>
      <c r="B204" s="82"/>
      <c r="C204" s="80"/>
      <c r="D204" s="82"/>
    </row>
    <row r="205" spans="1:4">
      <c r="A205" s="81"/>
      <c r="B205" s="82"/>
      <c r="C205" s="80"/>
      <c r="D205" s="82"/>
    </row>
    <row r="206" spans="1:4">
      <c r="A206" s="81"/>
      <c r="B206" s="82"/>
      <c r="C206" s="80"/>
      <c r="D206" s="82"/>
    </row>
    <row r="207" spans="1:4">
      <c r="A207" s="81"/>
      <c r="B207" s="82"/>
      <c r="C207" s="80"/>
      <c r="D207" s="82"/>
    </row>
    <row r="208" spans="1:4">
      <c r="A208" s="81"/>
      <c r="B208" s="82"/>
      <c r="C208" s="80"/>
      <c r="D208" s="82"/>
    </row>
    <row r="209" spans="1:4">
      <c r="A209" s="81"/>
      <c r="B209" s="82"/>
      <c r="C209" s="80"/>
      <c r="D209" s="82"/>
    </row>
    <row r="210" spans="1:4">
      <c r="A210" s="81"/>
      <c r="B210" s="82"/>
      <c r="C210" s="80"/>
      <c r="D210" s="82"/>
    </row>
    <row r="211" spans="1:4">
      <c r="A211" s="81"/>
      <c r="B211" s="82"/>
      <c r="C211" s="80"/>
      <c r="D211" s="82"/>
    </row>
    <row r="212" spans="1:4">
      <c r="A212" s="81"/>
      <c r="B212" s="82"/>
      <c r="C212" s="80"/>
      <c r="D212" s="82"/>
    </row>
    <row r="213" spans="1:4">
      <c r="A213" s="81"/>
      <c r="B213" s="82"/>
      <c r="C213" s="80"/>
      <c r="D213" s="82"/>
    </row>
    <row r="214" spans="1:4">
      <c r="A214" s="81"/>
      <c r="B214" s="82"/>
      <c r="C214" s="80"/>
      <c r="D214" s="82"/>
    </row>
    <row r="215" spans="1:4">
      <c r="A215" s="81"/>
      <c r="B215" s="82"/>
      <c r="C215" s="80"/>
      <c r="D215" s="82"/>
    </row>
    <row r="216" spans="1:4">
      <c r="A216" s="81"/>
      <c r="B216" s="82"/>
      <c r="C216" s="80"/>
      <c r="D216" s="82"/>
    </row>
    <row r="217" spans="1:4">
      <c r="A217" s="81"/>
      <c r="B217" s="82"/>
      <c r="C217" s="80"/>
      <c r="D217" s="82"/>
    </row>
    <row r="218" spans="1:4">
      <c r="A218" s="81"/>
      <c r="B218" s="82"/>
      <c r="C218" s="80"/>
      <c r="D218" s="82"/>
    </row>
    <row r="219" spans="1:4">
      <c r="A219" s="81"/>
      <c r="B219" s="82"/>
      <c r="C219" s="80"/>
      <c r="D219" s="82"/>
    </row>
    <row r="220" spans="1:4">
      <c r="A220" s="81"/>
      <c r="B220" s="82"/>
      <c r="C220" s="80"/>
      <c r="D220" s="82"/>
    </row>
    <row r="221" spans="1:4">
      <c r="A221" s="81"/>
      <c r="B221" s="82"/>
      <c r="C221" s="80"/>
      <c r="D221" s="82"/>
    </row>
    <row r="222" spans="1:4">
      <c r="A222" s="81"/>
      <c r="B222" s="82"/>
      <c r="C222" s="80"/>
      <c r="D222" s="82"/>
    </row>
    <row r="223" spans="1:4">
      <c r="A223" s="81"/>
      <c r="B223" s="82"/>
      <c r="C223" s="80"/>
      <c r="D223" s="82"/>
    </row>
    <row r="224" spans="1:4">
      <c r="A224" s="81"/>
      <c r="B224" s="82"/>
      <c r="C224" s="80"/>
      <c r="D224" s="82"/>
    </row>
    <row r="225" spans="1:4">
      <c r="A225" s="81"/>
      <c r="B225" s="82"/>
      <c r="C225" s="80"/>
      <c r="D225" s="82"/>
    </row>
    <row r="226" spans="1:4">
      <c r="A226" s="81"/>
      <c r="B226" s="82"/>
      <c r="C226" s="80"/>
      <c r="D226" s="82"/>
    </row>
    <row r="227" spans="1:4">
      <c r="A227" s="81"/>
      <c r="B227" s="82"/>
      <c r="C227" s="80"/>
      <c r="D227" s="82"/>
    </row>
    <row r="228" spans="1:4">
      <c r="A228" s="81"/>
      <c r="B228" s="82"/>
      <c r="C228" s="80"/>
      <c r="D228" s="82"/>
    </row>
    <row r="229" spans="1:4">
      <c r="A229" s="81"/>
      <c r="B229" s="82"/>
      <c r="C229" s="80"/>
      <c r="D229" s="82"/>
    </row>
    <row r="230" spans="1:4">
      <c r="A230" s="81"/>
      <c r="B230" s="82"/>
      <c r="C230" s="80"/>
      <c r="D230" s="82"/>
    </row>
    <row r="231" spans="1:4">
      <c r="A231" s="81"/>
      <c r="B231" s="82"/>
      <c r="C231" s="80"/>
      <c r="D231" s="82"/>
    </row>
    <row r="232" spans="1:4">
      <c r="A232" s="81"/>
      <c r="B232" s="82"/>
      <c r="C232" s="80"/>
      <c r="D232" s="82"/>
    </row>
    <row r="233" spans="1:4">
      <c r="A233" s="81"/>
      <c r="B233" s="82"/>
      <c r="C233" s="80"/>
      <c r="D233" s="82"/>
    </row>
    <row r="234" spans="1:4">
      <c r="A234" s="81"/>
      <c r="B234" s="82"/>
      <c r="C234" s="80"/>
      <c r="D234" s="82"/>
    </row>
    <row r="235" spans="1:4">
      <c r="A235" s="81"/>
      <c r="B235" s="82"/>
      <c r="C235" s="80"/>
      <c r="D235" s="82"/>
    </row>
    <row r="236" spans="1:4">
      <c r="A236" s="81"/>
      <c r="B236" s="82"/>
      <c r="C236" s="80"/>
      <c r="D236" s="82"/>
    </row>
    <row r="237" spans="1:4">
      <c r="A237" s="81"/>
      <c r="B237" s="82"/>
      <c r="C237" s="80"/>
      <c r="D237" s="82"/>
    </row>
    <row r="238" spans="1:4">
      <c r="A238" s="81"/>
      <c r="B238" s="82"/>
      <c r="C238" s="80"/>
      <c r="D238" s="82"/>
    </row>
    <row r="239" spans="1:4">
      <c r="A239" s="81"/>
      <c r="B239" s="82"/>
      <c r="C239" s="80"/>
      <c r="D239" s="82"/>
    </row>
    <row r="240" spans="1:4">
      <c r="A240" s="81"/>
      <c r="B240" s="82"/>
      <c r="C240" s="80"/>
      <c r="D240" s="82"/>
    </row>
    <row r="241" spans="1:4">
      <c r="A241" s="81"/>
      <c r="B241" s="82"/>
      <c r="C241" s="80"/>
      <c r="D241" s="82"/>
    </row>
    <row r="242" spans="1:4">
      <c r="A242" s="81"/>
      <c r="B242" s="82"/>
      <c r="C242" s="80"/>
      <c r="D242" s="82"/>
    </row>
    <row r="243" spans="1:4">
      <c r="A243" s="81"/>
      <c r="B243" s="82"/>
      <c r="C243" s="80"/>
      <c r="D243" s="82"/>
    </row>
    <row r="244" spans="1:4">
      <c r="A244" s="81"/>
      <c r="B244" s="82"/>
      <c r="C244" s="80"/>
      <c r="D244" s="82"/>
    </row>
    <row r="245" spans="1:4">
      <c r="A245" s="81"/>
      <c r="B245" s="82"/>
      <c r="C245" s="80"/>
      <c r="D245" s="82"/>
    </row>
    <row r="246" spans="1:4">
      <c r="A246" s="81"/>
      <c r="B246" s="82"/>
      <c r="C246" s="80"/>
      <c r="D246" s="82"/>
    </row>
    <row r="247" spans="1:4">
      <c r="A247" s="81"/>
      <c r="B247" s="82"/>
      <c r="C247" s="80"/>
      <c r="D247" s="82"/>
    </row>
    <row r="248" spans="1:4">
      <c r="A248" s="81"/>
      <c r="B248" s="82"/>
      <c r="C248" s="80"/>
      <c r="D248" s="82"/>
    </row>
    <row r="249" spans="1:4">
      <c r="A249" s="81"/>
      <c r="B249" s="82"/>
      <c r="C249" s="80"/>
      <c r="D249" s="82"/>
    </row>
    <row r="250" spans="1:4">
      <c r="A250" s="81"/>
      <c r="B250" s="82"/>
      <c r="C250" s="80"/>
      <c r="D250" s="82"/>
    </row>
    <row r="251" spans="1:4">
      <c r="A251" s="81"/>
      <c r="B251" s="82"/>
      <c r="C251" s="80"/>
      <c r="D251" s="82"/>
    </row>
    <row r="252" spans="1:4">
      <c r="A252" s="81"/>
      <c r="B252" s="82"/>
      <c r="C252" s="80"/>
      <c r="D252" s="82"/>
    </row>
    <row r="253" spans="1:4">
      <c r="A253" s="81"/>
      <c r="B253" s="82"/>
      <c r="C253" s="80"/>
      <c r="D253" s="82"/>
    </row>
    <row r="254" spans="1:4">
      <c r="A254" s="81"/>
      <c r="B254" s="82"/>
      <c r="C254" s="80"/>
      <c r="D254" s="82"/>
    </row>
    <row r="255" spans="1:4">
      <c r="A255" s="81"/>
      <c r="B255" s="82"/>
      <c r="C255" s="80"/>
      <c r="D255" s="82"/>
    </row>
    <row r="256" spans="1:4">
      <c r="A256" s="81"/>
      <c r="B256" s="82"/>
      <c r="C256" s="80"/>
      <c r="D256" s="82"/>
    </row>
    <row r="257" spans="1:4">
      <c r="A257" s="81"/>
      <c r="B257" s="82"/>
      <c r="C257" s="80"/>
      <c r="D257" s="82"/>
    </row>
    <row r="258" spans="1:4">
      <c r="A258" s="81"/>
      <c r="B258" s="82"/>
      <c r="C258" s="80"/>
      <c r="D258" s="82"/>
    </row>
    <row r="259" spans="1:4">
      <c r="A259" s="81"/>
      <c r="B259" s="82"/>
      <c r="C259" s="80"/>
      <c r="D259" s="82"/>
    </row>
    <row r="260" spans="1:4">
      <c r="A260" s="81"/>
      <c r="B260" s="82"/>
      <c r="C260" s="80"/>
      <c r="D260" s="82"/>
    </row>
    <row r="261" spans="1:4">
      <c r="A261" s="81"/>
      <c r="B261" s="82"/>
      <c r="C261" s="80"/>
      <c r="D261" s="82"/>
    </row>
    <row r="262" spans="1:4">
      <c r="A262" s="81"/>
      <c r="B262" s="82"/>
      <c r="C262" s="80"/>
      <c r="D262" s="82"/>
    </row>
    <row r="263" spans="1:4">
      <c r="A263" s="81"/>
      <c r="B263" s="82"/>
      <c r="C263" s="80"/>
      <c r="D263" s="82"/>
    </row>
    <row r="264" spans="1:4">
      <c r="A264" s="81"/>
      <c r="B264" s="82"/>
      <c r="C264" s="80"/>
      <c r="D264" s="82"/>
    </row>
    <row r="265" spans="1:4">
      <c r="A265" s="81"/>
      <c r="B265" s="82"/>
      <c r="C265" s="80"/>
      <c r="D265" s="82"/>
    </row>
    <row r="266" spans="1:4">
      <c r="A266" s="81"/>
      <c r="B266" s="82"/>
      <c r="C266" s="80"/>
      <c r="D266" s="82"/>
    </row>
    <row r="267" spans="1:4">
      <c r="A267" s="81"/>
      <c r="B267" s="82"/>
      <c r="C267" s="80"/>
      <c r="D267" s="82"/>
    </row>
    <row r="268" spans="1:4">
      <c r="A268" s="81"/>
      <c r="B268" s="82"/>
      <c r="C268" s="80"/>
      <c r="D268" s="82"/>
    </row>
    <row r="269" spans="1:4">
      <c r="A269" s="81"/>
      <c r="B269" s="82"/>
      <c r="C269" s="80"/>
      <c r="D269" s="82"/>
    </row>
    <row r="270" spans="1:4">
      <c r="A270" s="81"/>
      <c r="B270" s="82"/>
      <c r="C270" s="80"/>
      <c r="D270" s="82"/>
    </row>
    <row r="271" spans="1:4">
      <c r="A271" s="81"/>
      <c r="B271" s="82"/>
      <c r="C271" s="80"/>
      <c r="D271" s="82"/>
    </row>
    <row r="272" spans="1:4">
      <c r="A272" s="81"/>
      <c r="B272" s="82"/>
      <c r="C272" s="80"/>
      <c r="D272" s="82"/>
    </row>
    <row r="273" spans="1:4">
      <c r="A273" s="81"/>
      <c r="B273" s="82"/>
      <c r="C273" s="80"/>
      <c r="D273" s="82"/>
    </row>
    <row r="274" spans="1:4">
      <c r="A274" s="81"/>
      <c r="B274" s="82"/>
      <c r="C274" s="80"/>
      <c r="D274" s="82"/>
    </row>
    <row r="275" spans="1:4">
      <c r="A275" s="81"/>
      <c r="B275" s="82"/>
      <c r="C275" s="80"/>
      <c r="D275" s="82"/>
    </row>
    <row r="276" spans="1:4">
      <c r="A276" s="81"/>
      <c r="B276" s="82"/>
      <c r="C276" s="80"/>
      <c r="D276" s="82"/>
    </row>
    <row r="277" spans="1:4">
      <c r="A277" s="81"/>
      <c r="B277" s="82"/>
      <c r="C277" s="80"/>
      <c r="D277" s="82"/>
    </row>
    <row r="278" spans="1:4">
      <c r="A278" s="81"/>
      <c r="B278" s="82"/>
      <c r="C278" s="80"/>
      <c r="D278" s="82"/>
    </row>
    <row r="279" spans="1:4">
      <c r="A279" s="81"/>
      <c r="B279" s="82"/>
      <c r="C279" s="80"/>
      <c r="D279" s="82"/>
    </row>
    <row r="280" spans="1:4">
      <c r="A280" s="81"/>
      <c r="B280" s="82"/>
      <c r="C280" s="80"/>
      <c r="D280" s="82"/>
    </row>
    <row r="281" spans="1:4">
      <c r="A281" s="81"/>
      <c r="B281" s="82"/>
      <c r="C281" s="80"/>
      <c r="D281" s="82"/>
    </row>
    <row r="282" spans="1:4">
      <c r="A282" s="81"/>
      <c r="B282" s="82"/>
      <c r="C282" s="80"/>
      <c r="D282" s="82"/>
    </row>
    <row r="283" spans="1:4">
      <c r="A283" s="81"/>
      <c r="B283" s="82"/>
      <c r="C283" s="80"/>
      <c r="D283" s="82"/>
    </row>
    <row r="284" spans="1:4">
      <c r="A284" s="81"/>
      <c r="B284" s="82"/>
      <c r="C284" s="80"/>
      <c r="D284" s="82"/>
    </row>
    <row r="285" spans="1:4">
      <c r="A285" s="81"/>
      <c r="B285" s="82"/>
      <c r="C285" s="80"/>
      <c r="D285" s="82"/>
    </row>
    <row r="286" spans="1:4">
      <c r="A286" s="81"/>
      <c r="B286" s="82"/>
      <c r="C286" s="80"/>
      <c r="D286" s="82"/>
    </row>
    <row r="287" spans="1:4">
      <c r="A287" s="81"/>
      <c r="B287" s="82"/>
      <c r="C287" s="80"/>
      <c r="D287" s="82"/>
    </row>
    <row r="288" spans="1:4">
      <c r="A288" s="81"/>
      <c r="B288" s="82"/>
      <c r="C288" s="80"/>
      <c r="D288" s="82"/>
    </row>
    <row r="289" spans="1:4">
      <c r="A289" s="81"/>
      <c r="B289" s="82"/>
      <c r="C289" s="80"/>
      <c r="D289" s="82"/>
    </row>
    <row r="290" spans="1:4">
      <c r="A290" s="81"/>
      <c r="B290" s="82"/>
      <c r="C290" s="80"/>
      <c r="D290" s="82"/>
    </row>
    <row r="291" spans="1:4">
      <c r="A291" s="81"/>
      <c r="B291" s="82"/>
      <c r="C291" s="80"/>
      <c r="D291" s="82"/>
    </row>
    <row r="292" spans="1:4">
      <c r="A292" s="81"/>
      <c r="B292" s="82"/>
      <c r="C292" s="80"/>
      <c r="D292" s="82"/>
    </row>
    <row r="293" spans="1:4">
      <c r="A293" s="81"/>
      <c r="B293" s="82"/>
      <c r="C293" s="80"/>
      <c r="D293" s="82"/>
    </row>
    <row r="294" spans="1:4">
      <c r="A294" s="81"/>
      <c r="B294" s="82"/>
      <c r="C294" s="80"/>
      <c r="D294" s="82"/>
    </row>
    <row r="295" spans="1:4">
      <c r="A295" s="81"/>
      <c r="B295" s="82"/>
      <c r="C295" s="80"/>
      <c r="D295" s="82"/>
    </row>
    <row r="296" spans="1:4">
      <c r="A296" s="81"/>
      <c r="B296" s="82"/>
      <c r="C296" s="80"/>
      <c r="D296" s="82"/>
    </row>
    <row r="297" spans="1:4">
      <c r="A297" s="81"/>
      <c r="B297" s="82"/>
      <c r="C297" s="80"/>
      <c r="D297" s="82"/>
    </row>
    <row r="298" spans="1:4">
      <c r="A298" s="81"/>
      <c r="B298" s="82"/>
      <c r="C298" s="80"/>
      <c r="D298" s="82"/>
    </row>
    <row r="299" spans="1:4">
      <c r="A299" s="81"/>
      <c r="B299" s="82"/>
      <c r="C299" s="80"/>
      <c r="D299" s="82"/>
    </row>
    <row r="300" spans="1:4">
      <c r="A300" s="81"/>
      <c r="B300" s="82"/>
      <c r="C300" s="80"/>
      <c r="D300" s="82"/>
    </row>
    <row r="301" spans="1:4">
      <c r="A301" s="81"/>
      <c r="B301" s="82"/>
      <c r="C301" s="80"/>
      <c r="D301" s="82"/>
    </row>
    <row r="302" spans="1:4">
      <c r="A302" s="81"/>
      <c r="B302" s="82"/>
      <c r="C302" s="80"/>
      <c r="D302" s="82"/>
    </row>
    <row r="303" spans="1:4">
      <c r="A303" s="81"/>
      <c r="B303" s="82"/>
      <c r="C303" s="80"/>
      <c r="D303" s="82"/>
    </row>
    <row r="304" spans="1:4">
      <c r="A304" s="81"/>
      <c r="B304" s="82"/>
      <c r="C304" s="80"/>
      <c r="D304" s="82"/>
    </row>
    <row r="305" spans="1:4">
      <c r="A305" s="81"/>
      <c r="B305" s="82"/>
      <c r="C305" s="80"/>
      <c r="D305" s="82"/>
    </row>
    <row r="306" spans="1:4">
      <c r="A306" s="81"/>
      <c r="B306" s="82"/>
      <c r="C306" s="80"/>
      <c r="D306" s="82"/>
    </row>
    <row r="307" spans="1:4">
      <c r="A307" s="81"/>
      <c r="B307" s="82"/>
      <c r="C307" s="80"/>
      <c r="D307" s="82"/>
    </row>
    <row r="308" spans="1:4">
      <c r="A308" s="81"/>
      <c r="B308" s="82"/>
      <c r="C308" s="80"/>
      <c r="D308" s="82"/>
    </row>
    <row r="309" spans="1:4">
      <c r="A309" s="81"/>
      <c r="B309" s="82"/>
      <c r="C309" s="80"/>
      <c r="D309" s="82"/>
    </row>
    <row r="310" spans="1:4">
      <c r="A310" s="81"/>
      <c r="B310" s="82"/>
      <c r="C310" s="80"/>
      <c r="D310" s="82"/>
    </row>
    <row r="311" spans="1:4">
      <c r="A311" s="81"/>
      <c r="B311" s="82"/>
      <c r="C311" s="80"/>
      <c r="D311" s="82"/>
    </row>
    <row r="312" spans="1:4">
      <c r="A312" s="81"/>
      <c r="B312" s="82"/>
      <c r="C312" s="80"/>
      <c r="D312" s="82"/>
    </row>
    <row r="313" spans="1:4">
      <c r="A313" s="81"/>
      <c r="B313" s="82"/>
      <c r="C313" s="80"/>
      <c r="D313" s="82"/>
    </row>
    <row r="314" spans="1:4">
      <c r="A314" s="81"/>
      <c r="B314" s="82"/>
      <c r="C314" s="80"/>
      <c r="D314" s="82"/>
    </row>
    <row r="315" spans="1:4">
      <c r="A315" s="81"/>
      <c r="B315" s="82"/>
      <c r="C315" s="80"/>
      <c r="D315" s="82"/>
    </row>
    <row r="316" spans="1:4">
      <c r="A316" s="81"/>
      <c r="B316" s="82"/>
      <c r="C316" s="80"/>
      <c r="D316" s="82"/>
    </row>
    <row r="317" spans="1:4">
      <c r="A317" s="81"/>
      <c r="B317" s="82"/>
      <c r="C317" s="80"/>
      <c r="D317" s="82"/>
    </row>
    <row r="318" spans="1:4">
      <c r="A318" s="81"/>
      <c r="B318" s="82"/>
      <c r="C318" s="80"/>
      <c r="D318" s="82"/>
    </row>
    <row r="319" spans="1:4">
      <c r="A319" s="81"/>
      <c r="B319" s="82"/>
      <c r="C319" s="80"/>
      <c r="D319" s="82"/>
    </row>
    <row r="320" spans="1:4">
      <c r="A320" s="81"/>
      <c r="B320" s="82"/>
      <c r="C320" s="80"/>
      <c r="D320" s="82"/>
    </row>
    <row r="321" spans="1:4">
      <c r="A321" s="81"/>
      <c r="B321" s="82"/>
      <c r="C321" s="80"/>
      <c r="D321" s="82"/>
    </row>
    <row r="322" spans="1:4">
      <c r="A322" s="81"/>
      <c r="B322" s="82"/>
      <c r="C322" s="80"/>
      <c r="D322" s="82"/>
    </row>
    <row r="323" spans="1:4">
      <c r="A323" s="81"/>
      <c r="B323" s="82"/>
      <c r="C323" s="80"/>
      <c r="D323" s="82"/>
    </row>
    <row r="324" spans="1:4">
      <c r="A324" s="81"/>
      <c r="B324" s="82"/>
      <c r="C324" s="80"/>
      <c r="D324" s="82"/>
    </row>
    <row r="325" spans="1:4">
      <c r="A325" s="81"/>
      <c r="B325" s="82"/>
      <c r="C325" s="80"/>
      <c r="D325" s="82"/>
    </row>
    <row r="326" spans="1:4">
      <c r="A326" s="81"/>
      <c r="B326" s="82"/>
      <c r="C326" s="80"/>
      <c r="D326" s="82"/>
    </row>
    <row r="327" spans="1:4">
      <c r="A327" s="81"/>
      <c r="B327" s="82"/>
      <c r="C327" s="80"/>
      <c r="D327" s="82"/>
    </row>
    <row r="328" spans="1:4">
      <c r="A328" s="81"/>
      <c r="B328" s="82"/>
      <c r="C328" s="80"/>
      <c r="D328" s="82"/>
    </row>
    <row r="329" spans="1:4">
      <c r="A329" s="81"/>
      <c r="B329" s="82"/>
      <c r="C329" s="80"/>
      <c r="D329" s="82"/>
    </row>
    <row r="330" spans="1:4">
      <c r="A330" s="81"/>
      <c r="B330" s="82"/>
      <c r="C330" s="80"/>
      <c r="D330" s="82"/>
    </row>
    <row r="331" spans="1:4">
      <c r="A331" s="81"/>
      <c r="B331" s="82"/>
      <c r="C331" s="80"/>
      <c r="D331" s="82"/>
    </row>
    <row r="332" spans="1:4">
      <c r="A332" s="81"/>
      <c r="B332" s="82"/>
      <c r="C332" s="80"/>
      <c r="D332" s="82"/>
    </row>
    <row r="333" spans="1:4">
      <c r="A333" s="81"/>
      <c r="B333" s="82"/>
      <c r="C333" s="80"/>
      <c r="D333" s="82"/>
    </row>
    <row r="334" spans="1:4">
      <c r="A334" s="81"/>
      <c r="B334" s="82"/>
      <c r="C334" s="80"/>
      <c r="D334" s="82"/>
    </row>
    <row r="335" spans="1:4">
      <c r="A335" s="81"/>
      <c r="B335" s="82"/>
      <c r="C335" s="80"/>
      <c r="D335" s="82"/>
    </row>
    <row r="336" spans="1:4">
      <c r="A336" s="81"/>
      <c r="B336" s="82"/>
      <c r="C336" s="80"/>
      <c r="D336" s="82"/>
    </row>
    <row r="337" spans="1:4">
      <c r="A337" s="81"/>
      <c r="B337" s="82"/>
      <c r="C337" s="80"/>
      <c r="D337" s="82"/>
    </row>
    <row r="338" spans="1:4">
      <c r="A338" s="81"/>
      <c r="B338" s="82"/>
      <c r="C338" s="80"/>
      <c r="D338" s="82"/>
    </row>
    <row r="339" spans="1:4">
      <c r="A339" s="81"/>
      <c r="B339" s="82"/>
      <c r="C339" s="80"/>
      <c r="D339" s="82"/>
    </row>
    <row r="340" spans="1:4">
      <c r="A340" s="81"/>
      <c r="B340" s="82"/>
      <c r="C340" s="80"/>
      <c r="D340" s="82"/>
    </row>
    <row r="341" spans="1:4">
      <c r="A341" s="81"/>
      <c r="B341" s="82"/>
      <c r="C341" s="80"/>
      <c r="D341" s="82"/>
    </row>
    <row r="342" spans="1:4">
      <c r="A342" s="81"/>
      <c r="B342" s="82"/>
      <c r="C342" s="80"/>
      <c r="D342" s="82"/>
    </row>
    <row r="343" spans="1:4">
      <c r="A343" s="81"/>
      <c r="B343" s="82"/>
      <c r="C343" s="80"/>
      <c r="D343" s="82"/>
    </row>
    <row r="344" spans="1:4">
      <c r="A344" s="81"/>
      <c r="B344" s="82"/>
      <c r="C344" s="80"/>
      <c r="D344" s="82"/>
    </row>
    <row r="345" spans="1:4">
      <c r="A345" s="81"/>
      <c r="B345" s="82"/>
      <c r="C345" s="80"/>
      <c r="D345" s="82"/>
    </row>
    <row r="346" spans="1:4">
      <c r="A346" s="81"/>
      <c r="B346" s="82"/>
      <c r="C346" s="80"/>
      <c r="D346" s="82"/>
    </row>
    <row r="347" spans="1:4">
      <c r="A347" s="81"/>
      <c r="B347" s="82"/>
      <c r="C347" s="80"/>
      <c r="D347" s="82"/>
    </row>
    <row r="348" spans="1:4">
      <c r="A348" s="81"/>
      <c r="B348" s="82"/>
      <c r="C348" s="80"/>
      <c r="D348" s="82"/>
    </row>
    <row r="349" spans="1:4">
      <c r="A349" s="81"/>
      <c r="B349" s="82"/>
      <c r="C349" s="80"/>
      <c r="D349" s="82"/>
    </row>
    <row r="350" spans="1:4">
      <c r="A350" s="81"/>
      <c r="B350" s="82"/>
      <c r="C350" s="80"/>
      <c r="D350" s="82"/>
    </row>
    <row r="351" spans="1:4">
      <c r="A351" s="81"/>
      <c r="B351" s="82"/>
      <c r="C351" s="80"/>
      <c r="D351" s="82"/>
    </row>
    <row r="352" spans="1:4">
      <c r="A352" s="81"/>
      <c r="B352" s="82"/>
      <c r="C352" s="80"/>
      <c r="D352" s="82"/>
    </row>
    <row r="353" spans="1:4">
      <c r="A353" s="81"/>
      <c r="B353" s="82"/>
      <c r="C353" s="80"/>
      <c r="D353" s="82"/>
    </row>
    <row r="354" spans="1:4">
      <c r="A354" s="81"/>
      <c r="B354" s="82"/>
      <c r="C354" s="80"/>
      <c r="D354" s="82"/>
    </row>
    <row r="355" spans="1:4">
      <c r="A355" s="81"/>
      <c r="B355" s="82"/>
      <c r="C355" s="80"/>
      <c r="D355" s="82"/>
    </row>
    <row r="356" spans="1:4">
      <c r="A356" s="81"/>
      <c r="B356" s="82"/>
      <c r="C356" s="80"/>
      <c r="D356" s="82"/>
    </row>
    <row r="357" spans="1:4">
      <c r="A357" s="81"/>
      <c r="B357" s="82"/>
      <c r="C357" s="80"/>
      <c r="D357" s="82"/>
    </row>
    <row r="358" spans="1:4">
      <c r="A358" s="81"/>
      <c r="B358" s="82"/>
      <c r="C358" s="80"/>
      <c r="D358" s="82"/>
    </row>
    <row r="359" spans="1:4">
      <c r="A359" s="81"/>
      <c r="B359" s="82"/>
      <c r="C359" s="80"/>
      <c r="D359" s="82"/>
    </row>
    <row r="360" spans="1:4">
      <c r="A360" s="81"/>
      <c r="B360" s="82"/>
      <c r="C360" s="80"/>
      <c r="D360" s="82"/>
    </row>
    <row r="361" spans="1:4">
      <c r="A361" s="81"/>
      <c r="B361" s="82"/>
      <c r="C361" s="80"/>
      <c r="D361" s="82"/>
    </row>
    <row r="362" spans="1:4">
      <c r="A362" s="81"/>
      <c r="B362" s="82"/>
      <c r="C362" s="80"/>
      <c r="D362" s="82"/>
    </row>
    <row r="363" spans="1:4">
      <c r="A363" s="81"/>
      <c r="B363" s="82"/>
      <c r="C363" s="80"/>
      <c r="D363" s="82"/>
    </row>
    <row r="364" spans="1:4">
      <c r="A364" s="81"/>
      <c r="B364" s="82"/>
      <c r="C364" s="80"/>
      <c r="D364" s="82"/>
    </row>
    <row r="365" spans="1:4">
      <c r="A365" s="81"/>
      <c r="B365" s="82"/>
      <c r="C365" s="80"/>
      <c r="D365" s="82"/>
    </row>
    <row r="366" spans="1:4">
      <c r="A366" s="81"/>
      <c r="B366" s="82"/>
      <c r="C366" s="80"/>
      <c r="D366" s="82"/>
    </row>
    <row r="367" spans="1:4">
      <c r="A367" s="81"/>
      <c r="B367" s="82"/>
      <c r="C367" s="80"/>
      <c r="D367" s="82"/>
    </row>
    <row r="368" spans="1:4">
      <c r="A368" s="81"/>
      <c r="B368" s="82"/>
      <c r="C368" s="80"/>
      <c r="D368" s="82"/>
    </row>
    <row r="369" spans="1:4">
      <c r="A369" s="81"/>
      <c r="B369" s="82"/>
      <c r="C369" s="80"/>
      <c r="D369" s="82"/>
    </row>
    <row r="370" spans="1:4">
      <c r="A370" s="81"/>
      <c r="B370" s="82"/>
      <c r="C370" s="80"/>
      <c r="D370" s="82"/>
    </row>
    <row r="371" spans="1:4">
      <c r="A371" s="81"/>
      <c r="B371" s="82"/>
      <c r="C371" s="80"/>
      <c r="D371" s="82"/>
    </row>
    <row r="372" spans="1:4">
      <c r="A372" s="81"/>
      <c r="B372" s="82"/>
      <c r="C372" s="80"/>
      <c r="D372" s="82"/>
    </row>
    <row r="373" spans="1:4">
      <c r="A373" s="81"/>
      <c r="B373" s="82"/>
      <c r="C373" s="80"/>
      <c r="D373" s="82"/>
    </row>
    <row r="374" spans="1:4">
      <c r="A374" s="81"/>
      <c r="B374" s="82"/>
      <c r="C374" s="80"/>
      <c r="D374" s="82"/>
    </row>
    <row r="375" spans="1:4">
      <c r="A375" s="81"/>
      <c r="B375" s="82"/>
      <c r="C375" s="80"/>
      <c r="D375" s="82"/>
    </row>
    <row r="376" spans="1:4">
      <c r="A376" s="81"/>
      <c r="B376" s="82"/>
      <c r="C376" s="80"/>
      <c r="D376" s="82"/>
    </row>
    <row r="377" spans="1:4">
      <c r="A377" s="81"/>
      <c r="B377" s="82"/>
      <c r="C377" s="80"/>
      <c r="D377" s="82"/>
    </row>
    <row r="378" spans="1:4">
      <c r="A378" s="81"/>
      <c r="B378" s="82"/>
      <c r="C378" s="80"/>
      <c r="D378" s="82"/>
    </row>
    <row r="379" spans="1:4">
      <c r="A379" s="81"/>
      <c r="B379" s="82"/>
      <c r="C379" s="80"/>
      <c r="D379" s="82"/>
    </row>
    <row r="380" spans="1:4">
      <c r="A380" s="81"/>
      <c r="B380" s="82"/>
      <c r="C380" s="80"/>
      <c r="D380" s="82"/>
    </row>
    <row r="381" spans="1:4">
      <c r="A381" s="81"/>
      <c r="B381" s="82"/>
      <c r="C381" s="80"/>
      <c r="D381" s="82"/>
    </row>
    <row r="382" spans="1:4">
      <c r="A382" s="81"/>
      <c r="B382" s="82"/>
      <c r="C382" s="80"/>
      <c r="D382" s="82"/>
    </row>
    <row r="383" spans="1:4">
      <c r="A383" s="81"/>
      <c r="B383" s="82"/>
      <c r="C383" s="80"/>
      <c r="D383" s="82"/>
    </row>
    <row r="384" spans="1:4">
      <c r="A384" s="81"/>
      <c r="B384" s="82"/>
      <c r="C384" s="80"/>
      <c r="D384" s="82"/>
    </row>
    <row r="385" spans="1:4">
      <c r="A385" s="81"/>
      <c r="B385" s="82"/>
      <c r="C385" s="80"/>
      <c r="D385" s="82"/>
    </row>
    <row r="386" spans="1:4">
      <c r="A386" s="81"/>
      <c r="B386" s="82"/>
      <c r="C386" s="80"/>
      <c r="D386" s="82"/>
    </row>
    <row r="387" spans="1:4">
      <c r="A387" s="81"/>
      <c r="B387" s="82"/>
      <c r="C387" s="80"/>
      <c r="D387" s="82"/>
    </row>
    <row r="388" spans="1:4">
      <c r="A388" s="81"/>
      <c r="B388" s="82"/>
      <c r="C388" s="80"/>
      <c r="D388" s="82"/>
    </row>
    <row r="389" spans="1:4">
      <c r="A389" s="81"/>
      <c r="B389" s="82"/>
      <c r="C389" s="80"/>
      <c r="D389" s="82"/>
    </row>
    <row r="390" spans="1:4">
      <c r="A390" s="81"/>
      <c r="B390" s="82"/>
      <c r="C390" s="80"/>
      <c r="D390" s="82"/>
    </row>
    <row r="391" spans="1:4">
      <c r="A391" s="81"/>
      <c r="B391" s="82"/>
      <c r="C391" s="80"/>
      <c r="D391" s="82"/>
    </row>
    <row r="392" spans="1:4">
      <c r="A392" s="81"/>
      <c r="B392" s="82"/>
      <c r="C392" s="80"/>
      <c r="D392" s="82"/>
    </row>
    <row r="393" spans="1:4">
      <c r="A393" s="81"/>
      <c r="B393" s="82"/>
      <c r="C393" s="80"/>
      <c r="D393" s="82"/>
    </row>
    <row r="394" spans="1:4">
      <c r="A394" s="81"/>
      <c r="B394" s="82"/>
      <c r="C394" s="80"/>
      <c r="D394" s="82"/>
    </row>
    <row r="395" spans="1:4">
      <c r="A395" s="81"/>
      <c r="B395" s="82"/>
      <c r="C395" s="80"/>
      <c r="D395" s="82"/>
    </row>
    <row r="396" spans="1:4">
      <c r="A396" s="81"/>
      <c r="B396" s="82"/>
      <c r="C396" s="80"/>
      <c r="D396" s="82"/>
    </row>
    <row r="397" spans="1:4">
      <c r="A397" s="81"/>
      <c r="B397" s="82"/>
      <c r="C397" s="80"/>
      <c r="D397" s="82"/>
    </row>
    <row r="398" spans="1:4">
      <c r="A398" s="81"/>
      <c r="B398" s="82"/>
      <c r="C398" s="80"/>
      <c r="D398" s="82"/>
    </row>
    <row r="399" spans="1:4">
      <c r="A399" s="81"/>
      <c r="B399" s="82"/>
      <c r="C399" s="80"/>
      <c r="D399" s="82"/>
    </row>
    <row r="400" spans="1:4">
      <c r="A400" s="81"/>
      <c r="B400" s="82"/>
      <c r="C400" s="80"/>
      <c r="D400" s="82"/>
    </row>
    <row r="401" spans="1:4">
      <c r="A401" s="81"/>
      <c r="B401" s="82"/>
      <c r="C401" s="80"/>
      <c r="D401" s="82"/>
    </row>
    <row r="402" spans="1:4">
      <c r="A402" s="81"/>
      <c r="B402" s="82"/>
      <c r="C402" s="80"/>
      <c r="D402" s="82"/>
    </row>
    <row r="403" spans="1:4">
      <c r="A403" s="81"/>
      <c r="B403" s="82"/>
      <c r="C403" s="80"/>
      <c r="D403" s="82"/>
    </row>
    <row r="404" spans="1:4">
      <c r="A404" s="81"/>
      <c r="B404" s="82"/>
      <c r="C404" s="80"/>
      <c r="D404" s="82"/>
    </row>
    <row r="405" spans="1:4">
      <c r="A405" s="81"/>
      <c r="B405" s="82"/>
      <c r="C405" s="80"/>
      <c r="D405" s="82"/>
    </row>
    <row r="406" spans="1:4">
      <c r="A406" s="81"/>
      <c r="B406" s="82"/>
      <c r="C406" s="80"/>
      <c r="D406" s="82"/>
    </row>
    <row r="407" spans="1:4">
      <c r="A407" s="81"/>
      <c r="B407" s="82"/>
      <c r="C407" s="80"/>
      <c r="D407" s="82"/>
    </row>
    <row r="408" spans="1:4">
      <c r="A408" s="81"/>
      <c r="B408" s="82"/>
      <c r="C408" s="80"/>
      <c r="D408" s="82"/>
    </row>
    <row r="409" spans="1:4">
      <c r="A409" s="81"/>
      <c r="B409" s="82"/>
      <c r="C409" s="80"/>
      <c r="D409" s="82"/>
    </row>
    <row r="410" spans="1:4">
      <c r="A410" s="81"/>
      <c r="B410" s="82"/>
      <c r="C410" s="80"/>
      <c r="D410" s="82"/>
    </row>
    <row r="411" spans="1:4">
      <c r="A411" s="81"/>
      <c r="B411" s="82"/>
      <c r="C411" s="80"/>
      <c r="D411" s="82"/>
    </row>
    <row r="412" spans="1:4">
      <c r="A412" s="81"/>
      <c r="B412" s="82"/>
      <c r="C412" s="80"/>
      <c r="D412" s="82"/>
    </row>
    <row r="413" spans="1:4">
      <c r="A413" s="81"/>
      <c r="B413" s="82"/>
      <c r="C413" s="80"/>
      <c r="D413" s="82"/>
    </row>
    <row r="414" spans="1:4">
      <c r="A414" s="81"/>
      <c r="B414" s="82"/>
      <c r="C414" s="80"/>
      <c r="D414" s="82"/>
    </row>
    <row r="415" spans="1:4">
      <c r="A415" s="81"/>
      <c r="B415" s="82"/>
      <c r="C415" s="80"/>
      <c r="D415" s="82"/>
    </row>
    <row r="416" spans="1:4">
      <c r="A416" s="81"/>
      <c r="B416" s="82"/>
      <c r="C416" s="80"/>
      <c r="D416" s="82"/>
    </row>
    <row r="417" spans="1:4">
      <c r="A417" s="81"/>
      <c r="B417" s="82"/>
      <c r="C417" s="80"/>
      <c r="D417" s="82"/>
    </row>
    <row r="418" spans="1:4">
      <c r="A418" s="81"/>
      <c r="B418" s="82"/>
      <c r="C418" s="80"/>
      <c r="D418" s="82"/>
    </row>
    <row r="419" spans="1:4">
      <c r="A419" s="81"/>
      <c r="B419" s="82"/>
      <c r="C419" s="80"/>
      <c r="D419" s="82"/>
    </row>
    <row r="420" spans="1:4">
      <c r="A420" s="81"/>
      <c r="B420" s="82"/>
      <c r="C420" s="80"/>
      <c r="D420" s="82"/>
    </row>
    <row r="421" spans="1:4">
      <c r="A421" s="81"/>
      <c r="B421" s="82"/>
      <c r="C421" s="80"/>
      <c r="D421" s="82"/>
    </row>
    <row r="422" spans="1:4">
      <c r="A422" s="81"/>
      <c r="B422" s="82"/>
      <c r="C422" s="80"/>
      <c r="D422" s="82"/>
    </row>
    <row r="423" spans="1:4">
      <c r="A423" s="81"/>
      <c r="B423" s="82"/>
      <c r="C423" s="80"/>
      <c r="D423" s="82"/>
    </row>
    <row r="424" spans="1:4">
      <c r="A424" s="81"/>
      <c r="B424" s="82"/>
      <c r="C424" s="80"/>
      <c r="D424" s="82"/>
    </row>
    <row r="425" spans="1:4">
      <c r="A425" s="81"/>
      <c r="B425" s="82"/>
      <c r="C425" s="80"/>
      <c r="D425" s="82"/>
    </row>
    <row r="426" spans="1:4">
      <c r="A426" s="81"/>
      <c r="B426" s="82"/>
      <c r="C426" s="80"/>
      <c r="D426" s="82"/>
    </row>
    <row r="427" spans="1:4">
      <c r="A427" s="81"/>
      <c r="B427" s="82"/>
      <c r="C427" s="80"/>
      <c r="D427" s="82"/>
    </row>
    <row r="428" spans="1:4">
      <c r="A428" s="81"/>
      <c r="B428" s="82"/>
      <c r="C428" s="80"/>
      <c r="D428" s="82"/>
    </row>
    <row r="429" spans="1:4">
      <c r="A429" s="81"/>
      <c r="B429" s="82"/>
      <c r="C429" s="80"/>
      <c r="D429" s="82"/>
    </row>
    <row r="430" spans="1:4">
      <c r="A430" s="81"/>
      <c r="B430" s="82"/>
      <c r="C430" s="80"/>
      <c r="D430" s="82"/>
    </row>
    <row r="431" spans="1:4">
      <c r="A431" s="81"/>
      <c r="B431" s="82"/>
      <c r="C431" s="80"/>
      <c r="D431" s="82"/>
    </row>
    <row r="432" spans="1:4">
      <c r="A432" s="81"/>
      <c r="B432" s="82"/>
      <c r="C432" s="80"/>
      <c r="D432" s="82"/>
    </row>
    <row r="433" spans="1:4">
      <c r="A433" s="81"/>
      <c r="B433" s="82"/>
      <c r="C433" s="80"/>
      <c r="D433" s="82"/>
    </row>
    <row r="434" spans="1:4">
      <c r="A434" s="81"/>
      <c r="B434" s="82"/>
      <c r="C434" s="80"/>
      <c r="D434" s="82"/>
    </row>
    <row r="435" spans="1:4">
      <c r="A435" s="81"/>
      <c r="B435" s="82"/>
      <c r="C435" s="80"/>
      <c r="D435" s="82"/>
    </row>
    <row r="436" spans="1:4">
      <c r="A436" s="81"/>
      <c r="B436" s="82"/>
      <c r="C436" s="80"/>
      <c r="D436" s="82"/>
    </row>
    <row r="437" spans="1:4">
      <c r="A437" s="81"/>
      <c r="B437" s="82"/>
      <c r="C437" s="80"/>
      <c r="D437" s="82"/>
    </row>
    <row r="438" spans="1:4">
      <c r="A438" s="81"/>
      <c r="B438" s="82"/>
      <c r="C438" s="80"/>
      <c r="D438" s="82"/>
    </row>
    <row r="439" spans="1:4">
      <c r="A439" s="81"/>
      <c r="B439" s="82"/>
      <c r="C439" s="80"/>
      <c r="D439" s="82"/>
    </row>
    <row r="440" spans="1:4">
      <c r="A440" s="81"/>
      <c r="B440" s="82"/>
      <c r="C440" s="80"/>
      <c r="D440" s="82"/>
    </row>
    <row r="441" spans="1:4">
      <c r="A441" s="81"/>
      <c r="B441" s="82"/>
      <c r="C441" s="80"/>
      <c r="D441" s="82"/>
    </row>
    <row r="442" spans="1:4">
      <c r="A442" s="81"/>
      <c r="B442" s="82"/>
      <c r="C442" s="80"/>
      <c r="D442" s="82"/>
    </row>
    <row r="443" spans="1:4">
      <c r="A443" s="81"/>
      <c r="B443" s="82"/>
      <c r="C443" s="80"/>
      <c r="D443" s="82"/>
    </row>
    <row r="444" spans="1:4">
      <c r="A444" s="81"/>
      <c r="B444" s="82"/>
      <c r="C444" s="80"/>
      <c r="D444" s="82"/>
    </row>
    <row r="445" spans="1:4">
      <c r="A445" s="81"/>
      <c r="B445" s="82"/>
      <c r="C445" s="80"/>
      <c r="D445" s="82"/>
    </row>
    <row r="446" spans="1:4">
      <c r="A446" s="81"/>
      <c r="B446" s="82"/>
      <c r="C446" s="80"/>
      <c r="D446" s="82"/>
    </row>
    <row r="447" spans="1:4">
      <c r="A447" s="81"/>
      <c r="B447" s="82"/>
      <c r="C447" s="80"/>
      <c r="D447" s="82"/>
    </row>
    <row r="448" spans="1:4">
      <c r="A448" s="81"/>
      <c r="B448" s="82"/>
      <c r="C448" s="80"/>
      <c r="D448" s="82"/>
    </row>
    <row r="449" spans="1:4">
      <c r="A449" s="81"/>
      <c r="B449" s="82"/>
      <c r="C449" s="80"/>
      <c r="D449" s="82"/>
    </row>
    <row r="450" spans="1:4">
      <c r="A450" s="81"/>
      <c r="B450" s="82"/>
      <c r="C450" s="80"/>
      <c r="D450" s="82"/>
    </row>
    <row r="451" spans="1:4">
      <c r="A451" s="81"/>
      <c r="B451" s="82"/>
      <c r="C451" s="80"/>
      <c r="D451" s="82"/>
    </row>
    <row r="452" spans="1:4">
      <c r="A452" s="81"/>
      <c r="B452" s="82"/>
      <c r="C452" s="80"/>
      <c r="D452" s="82"/>
    </row>
    <row r="453" spans="1:4">
      <c r="A453" s="81"/>
      <c r="B453" s="82"/>
      <c r="C453" s="80"/>
      <c r="D453" s="82"/>
    </row>
    <row r="454" spans="1:4">
      <c r="A454" s="81"/>
      <c r="B454" s="82"/>
      <c r="C454" s="80"/>
      <c r="D454" s="82"/>
    </row>
    <row r="455" spans="1:4">
      <c r="A455" s="81"/>
      <c r="B455" s="82"/>
      <c r="C455" s="80"/>
      <c r="D455" s="82"/>
    </row>
    <row r="456" spans="1:4">
      <c r="A456" s="81"/>
      <c r="B456" s="82"/>
      <c r="C456" s="80"/>
      <c r="D456" s="82"/>
    </row>
    <row r="457" spans="1:4">
      <c r="A457" s="81"/>
      <c r="B457" s="82"/>
      <c r="C457" s="80"/>
      <c r="D457" s="82"/>
    </row>
    <row r="458" spans="1:4">
      <c r="A458" s="81"/>
      <c r="B458" s="82"/>
      <c r="C458" s="80"/>
      <c r="D458" s="82"/>
    </row>
    <row r="459" spans="1:4">
      <c r="A459" s="81"/>
      <c r="B459" s="82"/>
      <c r="C459" s="80"/>
      <c r="D459" s="82"/>
    </row>
    <row r="460" spans="1:4">
      <c r="A460" s="81"/>
      <c r="B460" s="82"/>
      <c r="C460" s="80"/>
      <c r="D460" s="82"/>
    </row>
    <row r="461" spans="1:4">
      <c r="A461" s="81"/>
      <c r="B461" s="82"/>
      <c r="C461" s="80"/>
      <c r="D461" s="82"/>
    </row>
    <row r="462" spans="1:4">
      <c r="A462" s="81"/>
      <c r="B462" s="82"/>
      <c r="C462" s="80"/>
      <c r="D462" s="82"/>
    </row>
    <row r="463" spans="1:4">
      <c r="A463" s="81"/>
      <c r="B463" s="82"/>
      <c r="C463" s="80"/>
      <c r="D463" s="82"/>
    </row>
    <row r="464" spans="1:4">
      <c r="A464" s="81"/>
      <c r="B464" s="82"/>
      <c r="C464" s="80"/>
      <c r="D464" s="82"/>
    </row>
    <row r="465" spans="1:4">
      <c r="A465" s="81"/>
      <c r="B465" s="82"/>
      <c r="C465" s="80"/>
      <c r="D465" s="82"/>
    </row>
    <row r="466" spans="1:4">
      <c r="A466" s="81"/>
      <c r="B466" s="82"/>
      <c r="C466" s="80"/>
      <c r="D466" s="82"/>
    </row>
    <row r="467" spans="1:4">
      <c r="A467" s="81"/>
      <c r="B467" s="82"/>
      <c r="C467" s="80"/>
      <c r="D467" s="82"/>
    </row>
    <row r="468" spans="1:4">
      <c r="A468" s="81"/>
      <c r="B468" s="82"/>
      <c r="C468" s="80"/>
      <c r="D468" s="82"/>
    </row>
    <row r="469" spans="1:4">
      <c r="A469" s="81"/>
      <c r="B469" s="82"/>
      <c r="C469" s="80"/>
      <c r="D469" s="82"/>
    </row>
    <row r="470" spans="1:4">
      <c r="A470" s="81"/>
      <c r="B470" s="82"/>
      <c r="C470" s="80"/>
      <c r="D470" s="82"/>
    </row>
    <row r="471" spans="1:4">
      <c r="A471" s="81"/>
      <c r="B471" s="82"/>
      <c r="C471" s="80"/>
      <c r="D471" s="82"/>
    </row>
    <row r="472" spans="1:4">
      <c r="A472" s="81"/>
      <c r="B472" s="82"/>
      <c r="C472" s="80"/>
      <c r="D472" s="82"/>
    </row>
    <row r="473" spans="1:4">
      <c r="A473" s="81"/>
      <c r="B473" s="82"/>
      <c r="C473" s="80"/>
      <c r="D473" s="82"/>
    </row>
    <row r="474" spans="1:4">
      <c r="A474" s="81"/>
      <c r="B474" s="82"/>
      <c r="C474" s="80"/>
      <c r="D474" s="82"/>
    </row>
    <row r="475" spans="1:4">
      <c r="A475" s="81"/>
      <c r="B475" s="82"/>
      <c r="C475" s="80"/>
      <c r="D475" s="82"/>
    </row>
    <row r="476" spans="1:4">
      <c r="A476" s="81"/>
      <c r="B476" s="82"/>
      <c r="C476" s="80"/>
      <c r="D476" s="82"/>
    </row>
    <row r="477" spans="1:4">
      <c r="A477" s="81"/>
      <c r="B477" s="82"/>
      <c r="C477" s="80"/>
      <c r="D477" s="82"/>
    </row>
    <row r="478" spans="1:4">
      <c r="A478" s="81"/>
      <c r="B478" s="82"/>
      <c r="C478" s="80"/>
      <c r="D478" s="82"/>
    </row>
    <row r="479" spans="1:4">
      <c r="A479" s="81"/>
      <c r="B479" s="82"/>
      <c r="C479" s="80"/>
      <c r="D479" s="82"/>
    </row>
    <row r="480" spans="1:4">
      <c r="A480" s="81"/>
      <c r="B480" s="82"/>
      <c r="C480" s="80"/>
      <c r="D480" s="82"/>
    </row>
    <row r="481" spans="1:4">
      <c r="A481" s="81"/>
      <c r="B481" s="82"/>
      <c r="C481" s="80"/>
      <c r="D481" s="82"/>
    </row>
    <row r="482" spans="1:4">
      <c r="A482" s="81"/>
      <c r="B482" s="82"/>
      <c r="C482" s="80"/>
      <c r="D482" s="82"/>
    </row>
    <row r="483" spans="1:4">
      <c r="A483" s="81"/>
      <c r="B483" s="82"/>
      <c r="C483" s="80"/>
      <c r="D483" s="82"/>
    </row>
    <row r="484" spans="1:4">
      <c r="A484" s="81"/>
      <c r="B484" s="82"/>
      <c r="C484" s="80"/>
      <c r="D484" s="82"/>
    </row>
    <row r="485" spans="1:4">
      <c r="A485" s="81"/>
      <c r="B485" s="82"/>
      <c r="C485" s="80"/>
      <c r="D485" s="82"/>
    </row>
    <row r="486" spans="1:4">
      <c r="A486" s="81"/>
      <c r="B486" s="82"/>
      <c r="C486" s="80"/>
      <c r="D486" s="82"/>
    </row>
    <row r="487" spans="1:4">
      <c r="A487" s="81"/>
      <c r="B487" s="82"/>
      <c r="C487" s="80"/>
      <c r="D487" s="82"/>
    </row>
    <row r="488" spans="1:4">
      <c r="A488" s="81"/>
      <c r="B488" s="82"/>
      <c r="C488" s="80"/>
      <c r="D488" s="82"/>
    </row>
    <row r="489" spans="1:4">
      <c r="A489" s="81"/>
      <c r="B489" s="82"/>
      <c r="C489" s="80"/>
      <c r="D489" s="82"/>
    </row>
    <row r="490" spans="1:4">
      <c r="A490" s="81"/>
      <c r="B490" s="82"/>
      <c r="C490" s="80"/>
      <c r="D490" s="82"/>
    </row>
    <row r="491" spans="1:4">
      <c r="A491" s="81"/>
      <c r="B491" s="82"/>
      <c r="C491" s="80"/>
      <c r="D491" s="82"/>
    </row>
    <row r="492" spans="1:4">
      <c r="A492" s="81"/>
      <c r="B492" s="82"/>
      <c r="C492" s="80"/>
      <c r="D492" s="82"/>
    </row>
    <row r="493" spans="1:4">
      <c r="A493" s="81"/>
      <c r="B493" s="82"/>
      <c r="C493" s="80"/>
      <c r="D493" s="82"/>
    </row>
    <row r="494" spans="1:4">
      <c r="A494" s="81"/>
      <c r="B494" s="82"/>
      <c r="C494" s="80"/>
      <c r="D494" s="82"/>
    </row>
    <row r="495" spans="1:4">
      <c r="A495" s="81"/>
      <c r="B495" s="82"/>
      <c r="C495" s="80"/>
      <c r="D495" s="82"/>
    </row>
    <row r="496" spans="1:4">
      <c r="A496" s="81"/>
      <c r="B496" s="82"/>
      <c r="C496" s="80"/>
      <c r="D496" s="82"/>
    </row>
    <row r="497" spans="1:4">
      <c r="A497" s="81"/>
      <c r="B497" s="82"/>
      <c r="C497" s="80"/>
      <c r="D497" s="82"/>
    </row>
    <row r="498" spans="1:4">
      <c r="A498" s="81"/>
      <c r="B498" s="82"/>
      <c r="C498" s="80"/>
      <c r="D498" s="82"/>
    </row>
    <row r="499" spans="1:4">
      <c r="A499" s="81"/>
      <c r="B499" s="82"/>
      <c r="C499" s="80"/>
      <c r="D499" s="82"/>
    </row>
    <row r="500" spans="1:4">
      <c r="A500" s="81"/>
      <c r="B500" s="82"/>
      <c r="C500" s="80"/>
      <c r="D500" s="82"/>
    </row>
    <row r="501" spans="1:4">
      <c r="A501" s="81"/>
      <c r="B501" s="82"/>
      <c r="C501" s="80"/>
      <c r="D501" s="82"/>
    </row>
    <row r="502" spans="1:4">
      <c r="A502" s="81"/>
      <c r="B502" s="82"/>
      <c r="C502" s="80"/>
      <c r="D502" s="82"/>
    </row>
    <row r="503" spans="1:4">
      <c r="A503" s="81"/>
      <c r="B503" s="82"/>
      <c r="C503" s="80"/>
      <c r="D503" s="82"/>
    </row>
    <row r="504" spans="1:4">
      <c r="A504" s="81"/>
      <c r="B504" s="82"/>
      <c r="C504" s="80"/>
      <c r="D504" s="82"/>
    </row>
    <row r="505" spans="1:4">
      <c r="A505" s="81"/>
      <c r="B505" s="82"/>
      <c r="C505" s="80"/>
      <c r="D505" s="82"/>
    </row>
    <row r="506" spans="1:4">
      <c r="A506" s="81"/>
      <c r="B506" s="82"/>
      <c r="C506" s="80"/>
      <c r="D506" s="82"/>
    </row>
    <row r="507" spans="1:4">
      <c r="A507" s="81"/>
      <c r="B507" s="82"/>
      <c r="C507" s="80"/>
      <c r="D507" s="82"/>
    </row>
    <row r="508" spans="1:4">
      <c r="A508" s="81"/>
      <c r="B508" s="82"/>
      <c r="C508" s="80"/>
      <c r="D508" s="82"/>
    </row>
    <row r="509" spans="1:4">
      <c r="A509" s="81"/>
      <c r="B509" s="82"/>
      <c r="C509" s="80"/>
      <c r="D509" s="82"/>
    </row>
    <row r="510" spans="1:4">
      <c r="A510" s="81"/>
      <c r="B510" s="82"/>
      <c r="C510" s="80"/>
      <c r="D510" s="82"/>
    </row>
    <row r="511" spans="1:4">
      <c r="A511" s="81"/>
      <c r="B511" s="82"/>
      <c r="C511" s="80"/>
      <c r="D511" s="82"/>
    </row>
    <row r="512" spans="1:4">
      <c r="A512" s="81"/>
      <c r="B512" s="82"/>
      <c r="C512" s="80"/>
      <c r="D512" s="82"/>
    </row>
    <row r="513" spans="1:4">
      <c r="A513" s="81"/>
      <c r="B513" s="82"/>
      <c r="C513" s="80"/>
      <c r="D513" s="82"/>
    </row>
    <row r="514" spans="1:4">
      <c r="A514" s="81"/>
      <c r="B514" s="82"/>
      <c r="C514" s="80"/>
      <c r="D514" s="82"/>
    </row>
    <row r="515" spans="1:4">
      <c r="A515" s="81"/>
      <c r="B515" s="82"/>
      <c r="C515" s="80"/>
      <c r="D515" s="82"/>
    </row>
    <row r="516" spans="1:4">
      <c r="A516" s="81"/>
      <c r="B516" s="82"/>
      <c r="C516" s="80"/>
      <c r="D516" s="82"/>
    </row>
    <row r="517" spans="1:4">
      <c r="A517" s="81"/>
      <c r="B517" s="82"/>
      <c r="C517" s="80"/>
      <c r="D517" s="82"/>
    </row>
    <row r="518" spans="1:4">
      <c r="A518" s="81"/>
      <c r="B518" s="82"/>
      <c r="C518" s="80"/>
      <c r="D518" s="82"/>
    </row>
    <row r="519" spans="1:4">
      <c r="A519" s="81"/>
      <c r="B519" s="82"/>
      <c r="C519" s="80"/>
      <c r="D519" s="82"/>
    </row>
    <row r="520" spans="1:4">
      <c r="A520" s="81"/>
      <c r="B520" s="82"/>
      <c r="C520" s="80"/>
      <c r="D520" s="82"/>
    </row>
    <row r="521" spans="1:4">
      <c r="A521" s="81"/>
      <c r="B521" s="82"/>
      <c r="C521" s="80"/>
      <c r="D521" s="82"/>
    </row>
    <row r="522" spans="1:4">
      <c r="A522" s="81"/>
      <c r="B522" s="82"/>
      <c r="C522" s="80"/>
      <c r="D522" s="82"/>
    </row>
    <row r="523" spans="1:4">
      <c r="A523" s="81"/>
      <c r="B523" s="82"/>
      <c r="C523" s="80"/>
      <c r="D523" s="82"/>
    </row>
    <row r="524" spans="1:4">
      <c r="A524" s="81"/>
      <c r="B524" s="82"/>
      <c r="C524" s="80"/>
      <c r="D524" s="82"/>
    </row>
    <row r="525" spans="1:4">
      <c r="A525" s="81"/>
      <c r="B525" s="82"/>
      <c r="C525" s="80"/>
      <c r="D525" s="82"/>
    </row>
    <row r="526" spans="1:4">
      <c r="A526" s="81"/>
      <c r="B526" s="82"/>
      <c r="C526" s="80"/>
      <c r="D526" s="82"/>
    </row>
    <row r="527" spans="1:4">
      <c r="A527" s="81"/>
      <c r="B527" s="82"/>
      <c r="C527" s="80"/>
      <c r="D527" s="82"/>
    </row>
    <row r="528" spans="1:4">
      <c r="A528" s="81"/>
      <c r="B528" s="82"/>
      <c r="C528" s="80"/>
      <c r="D528" s="82"/>
    </row>
    <row r="529" spans="1:4">
      <c r="A529" s="81"/>
      <c r="B529" s="82"/>
      <c r="C529" s="80"/>
      <c r="D529" s="82"/>
    </row>
    <row r="530" spans="1:4">
      <c r="A530" s="81"/>
      <c r="B530" s="82"/>
      <c r="C530" s="80"/>
      <c r="D530" s="82"/>
    </row>
    <row r="531" spans="1:4">
      <c r="A531" s="81"/>
      <c r="B531" s="82"/>
      <c r="C531" s="80"/>
      <c r="D531" s="82"/>
    </row>
    <row r="532" spans="1:4">
      <c r="A532" s="81"/>
      <c r="B532" s="82"/>
      <c r="C532" s="80"/>
      <c r="D532" s="82"/>
    </row>
    <row r="533" spans="1:4">
      <c r="A533" s="81"/>
      <c r="B533" s="82"/>
      <c r="C533" s="80"/>
      <c r="D533" s="82"/>
    </row>
    <row r="534" spans="1:4">
      <c r="A534" s="81"/>
      <c r="B534" s="82"/>
      <c r="C534" s="80"/>
      <c r="D534" s="82"/>
    </row>
    <row r="535" spans="1:4">
      <c r="A535" s="81"/>
      <c r="B535" s="82"/>
      <c r="C535" s="80"/>
      <c r="D535" s="82"/>
    </row>
    <row r="536" spans="1:4">
      <c r="A536" s="81"/>
      <c r="B536" s="82"/>
      <c r="C536" s="80"/>
      <c r="D536" s="82"/>
    </row>
    <row r="537" spans="1:4">
      <c r="A537" s="81"/>
      <c r="B537" s="82"/>
      <c r="C537" s="80"/>
      <c r="D537" s="82"/>
    </row>
    <row r="538" spans="1:4">
      <c r="A538" s="81"/>
      <c r="B538" s="82"/>
      <c r="C538" s="80"/>
      <c r="D538" s="82"/>
    </row>
    <row r="539" spans="1:4">
      <c r="A539" s="81"/>
      <c r="B539" s="82"/>
      <c r="C539" s="80"/>
      <c r="D539" s="82"/>
    </row>
    <row r="540" spans="1:4">
      <c r="A540" s="81"/>
      <c r="B540" s="82"/>
      <c r="C540" s="80"/>
      <c r="D540" s="82"/>
    </row>
    <row r="541" spans="1:4">
      <c r="A541" s="81"/>
      <c r="B541" s="82"/>
      <c r="C541" s="80"/>
      <c r="D541" s="82"/>
    </row>
    <row r="542" spans="1:4">
      <c r="A542" s="81"/>
      <c r="B542" s="82"/>
      <c r="C542" s="80"/>
      <c r="D542" s="82"/>
    </row>
    <row r="543" spans="1:4">
      <c r="A543" s="81"/>
      <c r="B543" s="82"/>
      <c r="C543" s="80"/>
      <c r="D543" s="82"/>
    </row>
    <row r="544" spans="1:4">
      <c r="A544" s="81"/>
      <c r="B544" s="82"/>
      <c r="C544" s="80"/>
      <c r="D544" s="82"/>
    </row>
    <row r="545" spans="1:4">
      <c r="A545" s="81"/>
      <c r="B545" s="82"/>
      <c r="C545" s="80"/>
      <c r="D545" s="82"/>
    </row>
    <row r="546" spans="1:4">
      <c r="A546" s="81"/>
      <c r="B546" s="82"/>
      <c r="C546" s="80"/>
      <c r="D546" s="82"/>
    </row>
    <row r="547" spans="1:4">
      <c r="A547" s="81"/>
      <c r="B547" s="82"/>
      <c r="C547" s="80"/>
      <c r="D547" s="82"/>
    </row>
    <row r="548" spans="1:4">
      <c r="A548" s="81"/>
      <c r="B548" s="82"/>
      <c r="C548" s="80"/>
      <c r="D548" s="82"/>
    </row>
    <row r="549" spans="1:4">
      <c r="A549" s="81"/>
      <c r="B549" s="82"/>
      <c r="C549" s="80"/>
      <c r="D549" s="82"/>
    </row>
    <row r="550" spans="1:4">
      <c r="A550" s="81"/>
      <c r="B550" s="82"/>
      <c r="C550" s="80"/>
      <c r="D550" s="82"/>
    </row>
    <row r="551" spans="1:4">
      <c r="A551" s="81"/>
      <c r="B551" s="82"/>
      <c r="C551" s="80"/>
      <c r="D551" s="82"/>
    </row>
    <row r="552" spans="1:4">
      <c r="A552" s="81"/>
      <c r="B552" s="82"/>
      <c r="C552" s="80"/>
      <c r="D552" s="82"/>
    </row>
    <row r="553" spans="1:4">
      <c r="A553" s="81"/>
      <c r="B553" s="82"/>
      <c r="C553" s="80"/>
      <c r="D553" s="82"/>
    </row>
    <row r="554" spans="1:4">
      <c r="A554" s="81"/>
      <c r="B554" s="82"/>
      <c r="C554" s="80"/>
      <c r="D554" s="82"/>
    </row>
    <row r="555" spans="1:4">
      <c r="A555" s="81"/>
      <c r="B555" s="82"/>
      <c r="C555" s="80"/>
      <c r="D555" s="82"/>
    </row>
    <row r="556" spans="1:4">
      <c r="A556" s="81"/>
      <c r="B556" s="82"/>
      <c r="C556" s="80"/>
      <c r="D556" s="82"/>
    </row>
    <row r="557" spans="1:4">
      <c r="A557" s="81"/>
      <c r="B557" s="82"/>
      <c r="C557" s="80"/>
      <c r="D557" s="82"/>
    </row>
    <row r="558" spans="1:4">
      <c r="A558" s="81"/>
      <c r="B558" s="82"/>
      <c r="C558" s="80"/>
      <c r="D558" s="82"/>
    </row>
    <row r="559" spans="1:4">
      <c r="A559" s="81"/>
      <c r="B559" s="82"/>
      <c r="C559" s="80"/>
      <c r="D559" s="82"/>
    </row>
    <row r="560" spans="1:4">
      <c r="A560" s="81"/>
      <c r="B560" s="82"/>
      <c r="C560" s="80"/>
      <c r="D560" s="82"/>
    </row>
    <row r="561" spans="1:4">
      <c r="A561" s="81"/>
      <c r="B561" s="82"/>
      <c r="C561" s="80"/>
      <c r="D561" s="82"/>
    </row>
    <row r="562" spans="1:4">
      <c r="A562" s="81"/>
      <c r="B562" s="82"/>
      <c r="C562" s="80"/>
      <c r="D562" s="82"/>
    </row>
    <row r="563" spans="1:4">
      <c r="A563" s="81"/>
      <c r="B563" s="82"/>
      <c r="C563" s="80"/>
      <c r="D563" s="82"/>
    </row>
    <row r="564" spans="1:4">
      <c r="A564" s="81"/>
      <c r="B564" s="82"/>
      <c r="C564" s="80"/>
      <c r="D564" s="82"/>
    </row>
    <row r="565" spans="1:4">
      <c r="A565" s="81"/>
      <c r="B565" s="82"/>
      <c r="C565" s="80"/>
      <c r="D565" s="82"/>
    </row>
    <row r="566" spans="1:4">
      <c r="A566" s="81"/>
      <c r="B566" s="82"/>
      <c r="C566" s="80"/>
      <c r="D566" s="82"/>
    </row>
    <row r="567" spans="1:4">
      <c r="A567" s="81"/>
      <c r="B567" s="82"/>
      <c r="C567" s="80"/>
      <c r="D567" s="82"/>
    </row>
    <row r="568" spans="1:4">
      <c r="A568" s="81"/>
      <c r="B568" s="82"/>
      <c r="C568" s="80"/>
      <c r="D568" s="82"/>
    </row>
    <row r="569" spans="1:4">
      <c r="A569" s="81"/>
      <c r="B569" s="82"/>
      <c r="C569" s="80"/>
      <c r="D569" s="82"/>
    </row>
    <row r="570" spans="1:4">
      <c r="A570" s="81"/>
      <c r="B570" s="82"/>
      <c r="C570" s="80"/>
      <c r="D570" s="82"/>
    </row>
    <row r="571" spans="1:4">
      <c r="A571" s="81"/>
      <c r="B571" s="82"/>
      <c r="C571" s="80"/>
      <c r="D571" s="82"/>
    </row>
    <row r="572" spans="1:4">
      <c r="A572" s="81"/>
      <c r="B572" s="82"/>
      <c r="C572" s="80"/>
      <c r="D572" s="82"/>
    </row>
    <row r="573" spans="1:4">
      <c r="A573" s="81"/>
      <c r="B573" s="82"/>
      <c r="C573" s="80"/>
      <c r="D573" s="82"/>
    </row>
    <row r="574" spans="1:4">
      <c r="A574" s="81"/>
      <c r="B574" s="82"/>
      <c r="C574" s="80"/>
      <c r="D574" s="82"/>
    </row>
    <row r="575" spans="1:4">
      <c r="A575" s="81"/>
      <c r="B575" s="82"/>
      <c r="C575" s="80"/>
      <c r="D575" s="82"/>
    </row>
    <row r="576" spans="1:4">
      <c r="A576" s="81"/>
      <c r="B576" s="82"/>
      <c r="C576" s="80"/>
      <c r="D576" s="82"/>
    </row>
    <row r="577" spans="1:4">
      <c r="A577" s="81"/>
      <c r="B577" s="82"/>
      <c r="C577" s="80"/>
      <c r="D577" s="82"/>
    </row>
    <row r="578" spans="1:4">
      <c r="A578" s="81"/>
      <c r="B578" s="82"/>
      <c r="C578" s="80"/>
      <c r="D578" s="82"/>
    </row>
    <row r="579" spans="1:4">
      <c r="A579" s="81"/>
      <c r="B579" s="82"/>
      <c r="C579" s="80"/>
      <c r="D579" s="82"/>
    </row>
    <row r="580" spans="1:4">
      <c r="A580" s="81"/>
      <c r="B580" s="82"/>
      <c r="C580" s="80"/>
      <c r="D580" s="82"/>
    </row>
    <row r="581" spans="1:4">
      <c r="A581" s="81"/>
      <c r="B581" s="82"/>
      <c r="C581" s="80"/>
      <c r="D581" s="82"/>
    </row>
    <row r="582" spans="1:4">
      <c r="A582" s="81"/>
      <c r="B582" s="82"/>
      <c r="C582" s="80"/>
      <c r="D582" s="82"/>
    </row>
    <row r="583" spans="1:4">
      <c r="A583" s="81"/>
      <c r="B583" s="82"/>
      <c r="C583" s="80"/>
      <c r="D583" s="82"/>
    </row>
    <row r="584" spans="1:4">
      <c r="A584" s="81"/>
      <c r="B584" s="82"/>
      <c r="C584" s="80"/>
      <c r="D584" s="82"/>
    </row>
    <row r="585" spans="1:4">
      <c r="A585" s="81"/>
      <c r="B585" s="82"/>
      <c r="C585" s="80"/>
      <c r="D585" s="82"/>
    </row>
    <row r="586" spans="1:4">
      <c r="A586" s="81"/>
      <c r="B586" s="82"/>
      <c r="C586" s="80"/>
      <c r="D586" s="82"/>
    </row>
    <row r="587" spans="1:4">
      <c r="A587" s="81"/>
      <c r="B587" s="82"/>
      <c r="C587" s="80"/>
      <c r="D587" s="82"/>
    </row>
    <row r="588" spans="1:4">
      <c r="A588" s="81"/>
      <c r="B588" s="82"/>
      <c r="C588" s="80"/>
      <c r="D588" s="82"/>
    </row>
    <row r="589" spans="1:4">
      <c r="A589" s="81"/>
      <c r="B589" s="82"/>
      <c r="C589" s="80"/>
      <c r="D589" s="82"/>
    </row>
    <row r="590" spans="1:4">
      <c r="A590" s="81"/>
      <c r="B590" s="82"/>
      <c r="C590" s="80"/>
      <c r="D590" s="82"/>
    </row>
    <row r="591" spans="1:4">
      <c r="A591" s="81"/>
      <c r="B591" s="82"/>
      <c r="C591" s="80"/>
      <c r="D591" s="82"/>
    </row>
    <row r="592" spans="1:4">
      <c r="A592" s="81"/>
      <c r="B592" s="82"/>
      <c r="C592" s="80"/>
      <c r="D592" s="82"/>
    </row>
    <row r="593" spans="1:4">
      <c r="A593" s="81"/>
      <c r="B593" s="82"/>
      <c r="C593" s="80"/>
      <c r="D593" s="82"/>
    </row>
    <row r="594" spans="1:4">
      <c r="A594" s="81"/>
      <c r="B594" s="82"/>
      <c r="C594" s="80"/>
      <c r="D594" s="82"/>
    </row>
    <row r="595" spans="1:4">
      <c r="A595" s="81"/>
      <c r="B595" s="82"/>
      <c r="C595" s="80"/>
      <c r="D595" s="82"/>
    </row>
    <row r="596" spans="1:4">
      <c r="A596" s="81"/>
      <c r="B596" s="82"/>
      <c r="C596" s="80"/>
      <c r="D596" s="82"/>
    </row>
    <row r="597" spans="1:4">
      <c r="A597" s="81"/>
      <c r="B597" s="82"/>
      <c r="C597" s="80"/>
      <c r="D597" s="82"/>
    </row>
    <row r="598" spans="1:4">
      <c r="A598" s="81"/>
      <c r="B598" s="82"/>
      <c r="C598" s="80"/>
      <c r="D598" s="82"/>
    </row>
    <row r="599" spans="1:4">
      <c r="A599" s="81"/>
      <c r="B599" s="82"/>
      <c r="C599" s="80"/>
      <c r="D599" s="82"/>
    </row>
    <row r="600" spans="1:4">
      <c r="A600" s="81"/>
      <c r="B600" s="82"/>
      <c r="C600" s="80"/>
      <c r="D600" s="82"/>
    </row>
    <row r="601" spans="1:4">
      <c r="A601" s="81"/>
      <c r="B601" s="82"/>
      <c r="C601" s="80"/>
      <c r="D601" s="82"/>
    </row>
    <row r="602" spans="1:4">
      <c r="A602" s="81"/>
      <c r="B602" s="82"/>
      <c r="C602" s="80"/>
      <c r="D602" s="82"/>
    </row>
    <row r="603" spans="1:4">
      <c r="A603" s="81"/>
      <c r="B603" s="82"/>
      <c r="C603" s="80"/>
      <c r="D603" s="82"/>
    </row>
    <row r="604" spans="1:4">
      <c r="A604" s="81"/>
      <c r="B604" s="82"/>
      <c r="C604" s="80"/>
      <c r="D604" s="82"/>
    </row>
    <row r="605" spans="1:4">
      <c r="A605" s="81"/>
      <c r="B605" s="82"/>
      <c r="C605" s="80"/>
      <c r="D605" s="82"/>
    </row>
    <row r="606" spans="1:4">
      <c r="A606" s="81"/>
      <c r="B606" s="82"/>
      <c r="C606" s="80"/>
      <c r="D606" s="82"/>
    </row>
    <row r="607" spans="1:4">
      <c r="A607" s="81"/>
      <c r="B607" s="82"/>
      <c r="C607" s="80"/>
      <c r="D607" s="82"/>
    </row>
    <row r="608" spans="1:4">
      <c r="A608" s="81"/>
      <c r="B608" s="82"/>
      <c r="C608" s="80"/>
      <c r="D608" s="82"/>
    </row>
    <row r="609" spans="1:4">
      <c r="A609" s="81"/>
      <c r="B609" s="82"/>
      <c r="C609" s="80"/>
      <c r="D609" s="82"/>
    </row>
    <row r="610" spans="1:4">
      <c r="A610" s="81"/>
      <c r="B610" s="82"/>
      <c r="C610" s="80"/>
      <c r="D610" s="82"/>
    </row>
    <row r="611" spans="1:4">
      <c r="A611" s="81"/>
      <c r="B611" s="82"/>
      <c r="C611" s="80"/>
      <c r="D611" s="82"/>
    </row>
    <row r="612" spans="1:4">
      <c r="A612" s="81"/>
      <c r="B612" s="82"/>
      <c r="C612" s="80"/>
      <c r="D612" s="82"/>
    </row>
    <row r="613" spans="1:4">
      <c r="A613" s="81"/>
      <c r="B613" s="82"/>
      <c r="C613" s="80"/>
      <c r="D613" s="82"/>
    </row>
    <row r="614" spans="1:4">
      <c r="A614" s="81"/>
      <c r="B614" s="82"/>
      <c r="C614" s="80"/>
      <c r="D614" s="82"/>
    </row>
    <row r="615" spans="1:4">
      <c r="A615" s="81"/>
      <c r="B615" s="82"/>
      <c r="C615" s="80"/>
      <c r="D615" s="82"/>
    </row>
    <row r="616" spans="1:4">
      <c r="A616" s="81"/>
      <c r="B616" s="82"/>
      <c r="C616" s="80"/>
      <c r="D616" s="82"/>
    </row>
    <row r="617" spans="1:4">
      <c r="A617" s="81"/>
      <c r="B617" s="82"/>
      <c r="C617" s="80"/>
      <c r="D617" s="82"/>
    </row>
    <row r="618" spans="1:4">
      <c r="A618" s="81"/>
      <c r="B618" s="82"/>
      <c r="C618" s="80"/>
      <c r="D618" s="82"/>
    </row>
    <row r="619" spans="1:4">
      <c r="A619" s="81"/>
      <c r="B619" s="82"/>
      <c r="C619" s="80"/>
      <c r="D619" s="82"/>
    </row>
    <row r="620" spans="1:4">
      <c r="A620" s="81"/>
      <c r="B620" s="82"/>
      <c r="C620" s="80"/>
      <c r="D620" s="82"/>
    </row>
    <row r="621" spans="1:4">
      <c r="A621" s="81"/>
      <c r="B621" s="82"/>
      <c r="C621" s="80"/>
      <c r="D621" s="82"/>
    </row>
    <row r="622" spans="1:4">
      <c r="A622" s="81"/>
      <c r="B622" s="82"/>
      <c r="C622" s="80"/>
      <c r="D622" s="82"/>
    </row>
    <row r="623" spans="1:4">
      <c r="A623" s="81"/>
      <c r="B623" s="82"/>
      <c r="C623" s="80"/>
      <c r="D623" s="82"/>
    </row>
    <row r="624" spans="1:4">
      <c r="A624" s="81"/>
      <c r="B624" s="82"/>
      <c r="C624" s="80"/>
      <c r="D624" s="82"/>
    </row>
    <row r="625" spans="1:4">
      <c r="A625" s="81"/>
      <c r="B625" s="82"/>
      <c r="C625" s="80"/>
      <c r="D625" s="82"/>
    </row>
    <row r="626" spans="1:4">
      <c r="A626" s="81"/>
      <c r="B626" s="82"/>
      <c r="C626" s="80"/>
      <c r="D626" s="82"/>
    </row>
    <row r="627" spans="1:4">
      <c r="A627" s="81"/>
      <c r="B627" s="82"/>
      <c r="C627" s="80"/>
      <c r="D627" s="82"/>
    </row>
    <row r="628" spans="1:4">
      <c r="A628" s="81"/>
      <c r="B628" s="82"/>
      <c r="C628" s="80"/>
      <c r="D628" s="82"/>
    </row>
    <row r="629" spans="1:4">
      <c r="A629" s="81"/>
      <c r="B629" s="82"/>
      <c r="C629" s="80"/>
      <c r="D629" s="82"/>
    </row>
    <row r="630" spans="1:4">
      <c r="A630" s="81"/>
      <c r="B630" s="82"/>
      <c r="C630" s="80"/>
      <c r="D630" s="82"/>
    </row>
    <row r="631" spans="1:4">
      <c r="A631" s="81"/>
      <c r="B631" s="82"/>
      <c r="C631" s="80"/>
      <c r="D631" s="82"/>
    </row>
    <row r="632" spans="1:4">
      <c r="A632" s="81"/>
      <c r="B632" s="82"/>
      <c r="C632" s="80"/>
      <c r="D632" s="82"/>
    </row>
    <row r="633" spans="1:4">
      <c r="A633" s="81"/>
      <c r="B633" s="82"/>
      <c r="C633" s="80"/>
      <c r="D633" s="82"/>
    </row>
    <row r="634" spans="1:4">
      <c r="A634" s="81"/>
      <c r="B634" s="82"/>
      <c r="C634" s="80"/>
      <c r="D634" s="82"/>
    </row>
    <row r="635" spans="1:4">
      <c r="A635" s="81"/>
      <c r="B635" s="82"/>
      <c r="C635" s="80"/>
      <c r="D635" s="82"/>
    </row>
    <row r="636" spans="1:4">
      <c r="A636" s="81"/>
      <c r="B636" s="82"/>
      <c r="C636" s="80"/>
      <c r="D636" s="82"/>
    </row>
    <row r="637" spans="1:4">
      <c r="A637" s="81"/>
      <c r="B637" s="82"/>
      <c r="C637" s="80"/>
      <c r="D637" s="82"/>
    </row>
    <row r="638" spans="1:4">
      <c r="A638" s="81"/>
      <c r="B638" s="82"/>
      <c r="C638" s="80"/>
      <c r="D638" s="82"/>
    </row>
    <row r="639" spans="1:4">
      <c r="A639" s="81"/>
      <c r="B639" s="82"/>
      <c r="C639" s="80"/>
      <c r="D639" s="82"/>
    </row>
    <row r="640" spans="1:4">
      <c r="A640" s="81"/>
      <c r="B640" s="82"/>
      <c r="C640" s="80"/>
      <c r="D640" s="82"/>
    </row>
    <row r="641" spans="1:4">
      <c r="A641" s="81"/>
      <c r="B641" s="82"/>
      <c r="C641" s="80"/>
      <c r="D641" s="82"/>
    </row>
    <row r="642" spans="1:4">
      <c r="A642" s="81"/>
      <c r="B642" s="82"/>
      <c r="C642" s="80"/>
      <c r="D642" s="82"/>
    </row>
    <row r="643" spans="1:4">
      <c r="A643" s="81"/>
      <c r="B643" s="82"/>
      <c r="C643" s="80"/>
      <c r="D643" s="82"/>
    </row>
    <row r="644" spans="1:4">
      <c r="A644" s="81"/>
      <c r="B644" s="82"/>
      <c r="C644" s="80"/>
      <c r="D644" s="82"/>
    </row>
    <row r="645" spans="1:4">
      <c r="A645" s="81"/>
      <c r="B645" s="82"/>
      <c r="C645" s="80"/>
      <c r="D645" s="82"/>
    </row>
    <row r="646" spans="1:4">
      <c r="A646" s="81"/>
      <c r="B646" s="82"/>
      <c r="C646" s="80"/>
      <c r="D646" s="82"/>
    </row>
    <row r="647" spans="1:4">
      <c r="A647" s="81"/>
      <c r="B647" s="82"/>
      <c r="C647" s="80"/>
      <c r="D647" s="82"/>
    </row>
    <row r="648" spans="1:4">
      <c r="A648" s="81"/>
      <c r="B648" s="82"/>
      <c r="C648" s="80"/>
      <c r="D648" s="82"/>
    </row>
    <row r="649" spans="1:4">
      <c r="A649" s="81"/>
      <c r="B649" s="82"/>
      <c r="C649" s="80"/>
      <c r="D649" s="82"/>
    </row>
    <row r="650" spans="1:4">
      <c r="A650" s="81"/>
      <c r="B650" s="82"/>
      <c r="C650" s="80"/>
      <c r="D650" s="82"/>
    </row>
    <row r="651" spans="1:4">
      <c r="A651" s="81"/>
      <c r="B651" s="82"/>
      <c r="C651" s="80"/>
      <c r="D651" s="82"/>
    </row>
    <row r="652" spans="1:4">
      <c r="A652" s="81"/>
      <c r="B652" s="82"/>
      <c r="C652" s="80"/>
      <c r="D652" s="82"/>
    </row>
    <row r="653" spans="1:4">
      <c r="A653" s="81"/>
      <c r="B653" s="82"/>
      <c r="C653" s="80"/>
      <c r="D653" s="82"/>
    </row>
    <row r="654" spans="1:4">
      <c r="A654" s="81"/>
      <c r="B654" s="82"/>
      <c r="C654" s="80"/>
      <c r="D654" s="82"/>
    </row>
    <row r="655" spans="1:4">
      <c r="A655" s="81"/>
      <c r="B655" s="82"/>
      <c r="C655" s="80"/>
      <c r="D655" s="82"/>
    </row>
    <row r="656" spans="1:4">
      <c r="A656" s="81"/>
      <c r="B656" s="82"/>
      <c r="C656" s="80"/>
      <c r="D656" s="82"/>
    </row>
    <row r="657" spans="1:4">
      <c r="A657" s="81"/>
      <c r="B657" s="82"/>
      <c r="C657" s="80"/>
      <c r="D657" s="82"/>
    </row>
    <row r="658" spans="1:4">
      <c r="A658" s="81"/>
      <c r="B658" s="82"/>
      <c r="C658" s="80"/>
      <c r="D658" s="82"/>
    </row>
    <row r="659" spans="1:4">
      <c r="A659" s="81"/>
      <c r="B659" s="82"/>
      <c r="C659" s="80"/>
      <c r="D659" s="82"/>
    </row>
    <row r="660" spans="1:4">
      <c r="A660" s="81"/>
      <c r="B660" s="82"/>
      <c r="C660" s="80"/>
      <c r="D660" s="82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tart_transaction">
                <anchor moveWithCells="1" sizeWithCells="1">
                  <from>
                    <xdr:col>8</xdr:col>
                    <xdr:colOff>0</xdr:colOff>
                    <xdr:row>1</xdr:row>
                    <xdr:rowOff>22860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Übersicht</vt:lpstr>
      <vt:lpstr>RAIKA_GIRO</vt:lpstr>
      <vt:lpstr>ING_GIRO</vt:lpstr>
      <vt:lpstr>ING_SPAREN</vt:lpstr>
      <vt:lpstr>DKB_GIRO</vt:lpstr>
      <vt:lpstr>DKB_VISA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Grubmüller</dc:creator>
  <cp:lastModifiedBy>Stefan Grubmüller</cp:lastModifiedBy>
  <dcterms:created xsi:type="dcterms:W3CDTF">2020-06-30T17:38:15Z</dcterms:created>
  <dcterms:modified xsi:type="dcterms:W3CDTF">2020-08-30T18:12:56Z</dcterms:modified>
</cp:coreProperties>
</file>