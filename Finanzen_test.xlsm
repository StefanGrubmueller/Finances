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MyProjects\finances\"/>
    </mc:Choice>
  </mc:AlternateContent>
  <xr:revisionPtr revIDLastSave="0" documentId="13_ncr:1_{AD1350F5-6CA3-4921-96E7-27D9A8F8F048}" xr6:coauthVersionLast="45" xr6:coauthVersionMax="45" xr10:uidLastSave="{00000000-0000-0000-0000-000000000000}"/>
  <bookViews>
    <workbookView xWindow="-108" yWindow="-108" windowWidth="23256" windowHeight="12576" activeTab="2" xr2:uid="{6B6BC241-1335-4657-85B2-2617A7CF0D2C}"/>
  </bookViews>
  <sheets>
    <sheet name="Übersicht" sheetId="7" r:id="rId1"/>
    <sheet name="RAIKA_GIRO" sheetId="9" r:id="rId2"/>
    <sheet name="ING_GIRO" sheetId="14" r:id="rId3"/>
    <sheet name="ING_SPAREN" sheetId="10" r:id="rId4"/>
    <sheet name="DKB_GIRO" sheetId="12" r:id="rId5"/>
    <sheet name="DKB_VISA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8" i="14" l="1"/>
  <c r="O129" i="14"/>
  <c r="P133" i="14"/>
  <c r="P132" i="14"/>
  <c r="M132" i="14"/>
  <c r="P131" i="14"/>
  <c r="P130" i="14"/>
  <c r="M130" i="14"/>
  <c r="N129" i="14"/>
  <c r="N128" i="14"/>
  <c r="N127" i="14"/>
  <c r="M127" i="14"/>
  <c r="P126" i="14"/>
  <c r="M126" i="14"/>
  <c r="P125" i="14"/>
  <c r="M125" i="14"/>
  <c r="P124" i="14"/>
  <c r="M124" i="14"/>
  <c r="P123" i="14"/>
  <c r="M123" i="14"/>
  <c r="P122" i="14"/>
  <c r="M122" i="14"/>
  <c r="P128" i="14" l="1"/>
  <c r="Q122" i="14" s="1"/>
  <c r="Q123" i="14" s="1"/>
  <c r="Q124" i="14" s="1"/>
  <c r="Q125" i="14" s="1"/>
  <c r="Q126" i="14" s="1"/>
  <c r="Q127" i="14" s="1"/>
  <c r="Q128" i="14" s="1"/>
  <c r="Q129" i="14" s="1"/>
  <c r="Q130" i="14" s="1"/>
  <c r="Q131" i="14" s="1"/>
  <c r="Q132" i="14" s="1"/>
  <c r="Q133" i="14" s="1"/>
  <c r="P129" i="14"/>
  <c r="M131" i="14"/>
  <c r="M133" i="14"/>
  <c r="E16" i="7" l="1"/>
  <c r="E15" i="7"/>
  <c r="G14" i="7"/>
  <c r="E14" i="7"/>
  <c r="E13" i="7"/>
  <c r="G13" i="7" s="1"/>
  <c r="E12" i="7"/>
  <c r="G12" i="7" s="1"/>
  <c r="E11" i="7"/>
  <c r="G11" i="7" s="1"/>
  <c r="J60" i="14" l="1"/>
  <c r="L60" i="14"/>
  <c r="M60" i="14"/>
  <c r="O60" i="14"/>
  <c r="P60" i="14"/>
  <c r="R60" i="14"/>
  <c r="S60" i="14"/>
  <c r="U60" i="14"/>
  <c r="V60" i="14"/>
  <c r="X60" i="14"/>
  <c r="Y60" i="14"/>
  <c r="AA60" i="14"/>
  <c r="AB60" i="14"/>
  <c r="AD60" i="14"/>
  <c r="AE60" i="14"/>
  <c r="AG60" i="14"/>
  <c r="AH60" i="14"/>
  <c r="AJ60" i="14"/>
  <c r="G109" i="14"/>
  <c r="D109" i="14"/>
  <c r="AH110" i="14" l="1"/>
  <c r="AE110" i="14"/>
  <c r="AB110" i="14"/>
  <c r="Y110" i="14"/>
  <c r="V110" i="14"/>
  <c r="S110" i="14"/>
  <c r="P110" i="14"/>
  <c r="M110" i="14"/>
  <c r="J110" i="14"/>
  <c r="G110" i="14"/>
  <c r="D110" i="14"/>
  <c r="AJ109" i="14"/>
  <c r="AH109" i="14"/>
  <c r="AG109" i="14"/>
  <c r="AE109" i="14"/>
  <c r="AD109" i="14"/>
  <c r="AB109" i="14"/>
  <c r="AA109" i="14"/>
  <c r="Y109" i="14"/>
  <c r="X109" i="14"/>
  <c r="V109" i="14"/>
  <c r="U109" i="14"/>
  <c r="S109" i="14"/>
  <c r="R109" i="14"/>
  <c r="P109" i="14"/>
  <c r="O109" i="14"/>
  <c r="M109" i="14"/>
  <c r="L109" i="14"/>
  <c r="J109" i="14"/>
  <c r="I109" i="14"/>
  <c r="F109" i="14"/>
  <c r="C109" i="14"/>
  <c r="I60" i="14"/>
  <c r="G60" i="14"/>
  <c r="F60" i="14"/>
  <c r="D60" i="14"/>
  <c r="C60" i="14"/>
  <c r="I110" i="14" l="1"/>
  <c r="U110" i="14"/>
  <c r="AG110" i="14"/>
  <c r="C110" i="14"/>
  <c r="O110" i="14"/>
  <c r="AA110" i="14"/>
  <c r="L110" i="14"/>
  <c r="AJ110" i="14"/>
  <c r="X110" i="14"/>
  <c r="F110" i="14"/>
  <c r="R110" i="14"/>
  <c r="AD110" i="14"/>
  <c r="H144" i="11"/>
  <c r="H142" i="11"/>
  <c r="H140" i="11"/>
  <c r="H138" i="11"/>
  <c r="H136" i="11"/>
  <c r="W121" i="11"/>
  <c r="U121" i="11"/>
  <c r="S121" i="11"/>
  <c r="Q121" i="11"/>
  <c r="O121" i="11"/>
  <c r="M121" i="11"/>
  <c r="K121" i="11"/>
  <c r="I121" i="11"/>
  <c r="G121" i="11"/>
  <c r="E121" i="11"/>
  <c r="C121" i="11"/>
  <c r="X120" i="11"/>
  <c r="W120" i="11"/>
  <c r="V120" i="11"/>
  <c r="V121" i="11" s="1"/>
  <c r="U120" i="11"/>
  <c r="T120" i="11"/>
  <c r="S120" i="11"/>
  <c r="R120" i="11"/>
  <c r="H141" i="11" s="1"/>
  <c r="Q120" i="11"/>
  <c r="P120" i="11"/>
  <c r="O120" i="11"/>
  <c r="N120" i="11"/>
  <c r="N121" i="11" s="1"/>
  <c r="M120" i="11"/>
  <c r="L120" i="11"/>
  <c r="K120" i="11"/>
  <c r="J120" i="11"/>
  <c r="H137" i="11" s="1"/>
  <c r="I120" i="11"/>
  <c r="H120" i="11"/>
  <c r="G120" i="11"/>
  <c r="F120" i="11"/>
  <c r="F121" i="11" s="1"/>
  <c r="D120" i="11"/>
  <c r="H134" i="11" s="1"/>
  <c r="C120" i="11"/>
  <c r="B120" i="11"/>
  <c r="H133" i="11" s="1"/>
  <c r="X60" i="11"/>
  <c r="G144" i="11" s="1"/>
  <c r="I144" i="11" s="1"/>
  <c r="W60" i="11"/>
  <c r="V60" i="11"/>
  <c r="G143" i="11" s="1"/>
  <c r="U60" i="11"/>
  <c r="T60" i="11"/>
  <c r="G142" i="11" s="1"/>
  <c r="I142" i="11" s="1"/>
  <c r="S60" i="11"/>
  <c r="R60" i="11"/>
  <c r="R121" i="11" s="1"/>
  <c r="Q60" i="11"/>
  <c r="P60" i="11"/>
  <c r="G140" i="11" s="1"/>
  <c r="I140" i="11" s="1"/>
  <c r="O60" i="11"/>
  <c r="N60" i="11"/>
  <c r="G139" i="11" s="1"/>
  <c r="M60" i="11"/>
  <c r="L60" i="11"/>
  <c r="G138" i="11" s="1"/>
  <c r="I138" i="11" s="1"/>
  <c r="K60" i="11"/>
  <c r="J60" i="11"/>
  <c r="J121" i="11" s="1"/>
  <c r="I60" i="11"/>
  <c r="H60" i="11"/>
  <c r="G136" i="11" s="1"/>
  <c r="I136" i="11" s="1"/>
  <c r="G60" i="11"/>
  <c r="F60" i="11"/>
  <c r="G135" i="11" s="1"/>
  <c r="E60" i="11"/>
  <c r="D60" i="11"/>
  <c r="G134" i="11" s="1"/>
  <c r="C60" i="11"/>
  <c r="B60" i="11"/>
  <c r="B121" i="11" s="1"/>
  <c r="H144" i="12"/>
  <c r="H142" i="12"/>
  <c r="I142" i="12" s="1"/>
  <c r="H138" i="12"/>
  <c r="I138" i="12" s="1"/>
  <c r="H136" i="12"/>
  <c r="X121" i="12"/>
  <c r="W121" i="12"/>
  <c r="V121" i="12"/>
  <c r="U121" i="12"/>
  <c r="S121" i="12"/>
  <c r="Q121" i="12"/>
  <c r="O121" i="12"/>
  <c r="N121" i="12"/>
  <c r="M121" i="12"/>
  <c r="K121" i="12"/>
  <c r="I121" i="12"/>
  <c r="H121" i="12"/>
  <c r="G121" i="12"/>
  <c r="F121" i="12"/>
  <c r="E121" i="12"/>
  <c r="C121" i="12"/>
  <c r="X120" i="12"/>
  <c r="W120" i="12"/>
  <c r="V120" i="12"/>
  <c r="H143" i="12" s="1"/>
  <c r="U120" i="12"/>
  <c r="T120" i="12"/>
  <c r="S120" i="12"/>
  <c r="R120" i="12"/>
  <c r="H141" i="12" s="1"/>
  <c r="Q120" i="12"/>
  <c r="P120" i="12"/>
  <c r="H140" i="12" s="1"/>
  <c r="O120" i="12"/>
  <c r="N120" i="12"/>
  <c r="H139" i="12" s="1"/>
  <c r="M120" i="12"/>
  <c r="L120" i="12"/>
  <c r="K120" i="12"/>
  <c r="J120" i="12"/>
  <c r="H137" i="12" s="1"/>
  <c r="I120" i="12"/>
  <c r="H120" i="12"/>
  <c r="G120" i="12"/>
  <c r="F120" i="12"/>
  <c r="H135" i="12" s="1"/>
  <c r="D120" i="12"/>
  <c r="H134" i="12" s="1"/>
  <c r="I134" i="12" s="1"/>
  <c r="C120" i="12"/>
  <c r="B120" i="12"/>
  <c r="H133" i="12" s="1"/>
  <c r="X60" i="12"/>
  <c r="G144" i="12" s="1"/>
  <c r="W60" i="12"/>
  <c r="V60" i="12"/>
  <c r="G143" i="12" s="1"/>
  <c r="U60" i="12"/>
  <c r="T60" i="12"/>
  <c r="G142" i="12" s="1"/>
  <c r="S60" i="12"/>
  <c r="R60" i="12"/>
  <c r="R121" i="12" s="1"/>
  <c r="Q60" i="12"/>
  <c r="P60" i="12"/>
  <c r="G140" i="12" s="1"/>
  <c r="O60" i="12"/>
  <c r="N60" i="12"/>
  <c r="G139" i="12" s="1"/>
  <c r="M60" i="12"/>
  <c r="L60" i="12"/>
  <c r="G138" i="12" s="1"/>
  <c r="K60" i="12"/>
  <c r="J60" i="12"/>
  <c r="J121" i="12" s="1"/>
  <c r="I60" i="12"/>
  <c r="H60" i="12"/>
  <c r="G136" i="12" s="1"/>
  <c r="G60" i="12"/>
  <c r="F60" i="12"/>
  <c r="G135" i="12" s="1"/>
  <c r="E60" i="12"/>
  <c r="D60" i="12"/>
  <c r="G134" i="12" s="1"/>
  <c r="C60" i="12"/>
  <c r="B60" i="12"/>
  <c r="B121" i="12" s="1"/>
  <c r="H144" i="10"/>
  <c r="H142" i="10"/>
  <c r="H138" i="10"/>
  <c r="H136" i="10"/>
  <c r="X121" i="10"/>
  <c r="W121" i="10"/>
  <c r="V121" i="10"/>
  <c r="U121" i="10"/>
  <c r="T121" i="10"/>
  <c r="S121" i="10"/>
  <c r="Q121" i="10"/>
  <c r="O121" i="10"/>
  <c r="N121" i="10"/>
  <c r="M121" i="10"/>
  <c r="L121" i="10"/>
  <c r="K121" i="10"/>
  <c r="I121" i="10"/>
  <c r="G121" i="10"/>
  <c r="F121" i="10"/>
  <c r="E121" i="10"/>
  <c r="D121" i="10"/>
  <c r="C121" i="10"/>
  <c r="X120" i="10"/>
  <c r="W120" i="10"/>
  <c r="V120" i="10"/>
  <c r="H143" i="10" s="1"/>
  <c r="I143" i="10" s="1"/>
  <c r="U120" i="10"/>
  <c r="T120" i="10"/>
  <c r="S120" i="10"/>
  <c r="R120" i="10"/>
  <c r="H141" i="10" s="1"/>
  <c r="Q120" i="10"/>
  <c r="P120" i="10"/>
  <c r="H140" i="10" s="1"/>
  <c r="O120" i="10"/>
  <c r="N120" i="10"/>
  <c r="H139" i="10" s="1"/>
  <c r="I139" i="10" s="1"/>
  <c r="M120" i="10"/>
  <c r="L120" i="10"/>
  <c r="K120" i="10"/>
  <c r="J120" i="10"/>
  <c r="H137" i="10" s="1"/>
  <c r="I120" i="10"/>
  <c r="H120" i="10"/>
  <c r="H121" i="10" s="1"/>
  <c r="G120" i="10"/>
  <c r="F120" i="10"/>
  <c r="H135" i="10" s="1"/>
  <c r="I135" i="10" s="1"/>
  <c r="D120" i="10"/>
  <c r="H134" i="10" s="1"/>
  <c r="I134" i="10" s="1"/>
  <c r="C120" i="10"/>
  <c r="B120" i="10"/>
  <c r="H133" i="10" s="1"/>
  <c r="X60" i="10"/>
  <c r="G144" i="10" s="1"/>
  <c r="W60" i="10"/>
  <c r="V60" i="10"/>
  <c r="G143" i="10" s="1"/>
  <c r="U60" i="10"/>
  <c r="T60" i="10"/>
  <c r="G142" i="10" s="1"/>
  <c r="S60" i="10"/>
  <c r="R60" i="10"/>
  <c r="R121" i="10" s="1"/>
  <c r="Q60" i="10"/>
  <c r="P60" i="10"/>
  <c r="G140" i="10" s="1"/>
  <c r="O60" i="10"/>
  <c r="N60" i="10"/>
  <c r="G139" i="10" s="1"/>
  <c r="M60" i="10"/>
  <c r="L60" i="10"/>
  <c r="G138" i="10" s="1"/>
  <c r="K60" i="10"/>
  <c r="J60" i="10"/>
  <c r="J121" i="10" s="1"/>
  <c r="I60" i="10"/>
  <c r="H60" i="10"/>
  <c r="G136" i="10" s="1"/>
  <c r="G60" i="10"/>
  <c r="F60" i="10"/>
  <c r="G135" i="10" s="1"/>
  <c r="E60" i="10"/>
  <c r="D60" i="10"/>
  <c r="G134" i="10" s="1"/>
  <c r="C60" i="10"/>
  <c r="B60" i="10"/>
  <c r="B121" i="10" s="1"/>
  <c r="P121" i="12" l="1"/>
  <c r="J133" i="11"/>
  <c r="J134" i="11" s="1"/>
  <c r="J135" i="11" s="1"/>
  <c r="J136" i="11" s="1"/>
  <c r="J137" i="11" s="1"/>
  <c r="J138" i="11" s="1"/>
  <c r="J139" i="11" s="1"/>
  <c r="J140" i="11" s="1"/>
  <c r="J141" i="11" s="1"/>
  <c r="J142" i="11" s="1"/>
  <c r="J143" i="11" s="1"/>
  <c r="J144" i="11" s="1"/>
  <c r="I134" i="11"/>
  <c r="H121" i="11"/>
  <c r="P121" i="11"/>
  <c r="X121" i="11"/>
  <c r="G133" i="11"/>
  <c r="I133" i="11" s="1"/>
  <c r="G137" i="11"/>
  <c r="I137" i="11" s="1"/>
  <c r="G141" i="11"/>
  <c r="I141" i="11" s="1"/>
  <c r="H135" i="11"/>
  <c r="I135" i="11" s="1"/>
  <c r="H139" i="11"/>
  <c r="I139" i="11" s="1"/>
  <c r="H143" i="11"/>
  <c r="I143" i="11" s="1"/>
  <c r="T121" i="11"/>
  <c r="D121" i="11"/>
  <c r="L121" i="11"/>
  <c r="I136" i="12"/>
  <c r="I140" i="12"/>
  <c r="I135" i="12"/>
  <c r="I139" i="12"/>
  <c r="J133" i="12" s="1"/>
  <c r="J134" i="12" s="1"/>
  <c r="J135" i="12" s="1"/>
  <c r="J136" i="12" s="1"/>
  <c r="J137" i="12" s="1"/>
  <c r="J138" i="12" s="1"/>
  <c r="J139" i="12" s="1"/>
  <c r="J140" i="12" s="1"/>
  <c r="J141" i="12" s="1"/>
  <c r="J142" i="12" s="1"/>
  <c r="J143" i="12" s="1"/>
  <c r="J144" i="12" s="1"/>
  <c r="I143" i="12"/>
  <c r="I144" i="12"/>
  <c r="G133" i="12"/>
  <c r="I133" i="12" s="1"/>
  <c r="G137" i="12"/>
  <c r="I137" i="12" s="1"/>
  <c r="G141" i="12"/>
  <c r="I141" i="12" s="1"/>
  <c r="D121" i="12"/>
  <c r="L121" i="12"/>
  <c r="T121" i="12"/>
  <c r="P121" i="10"/>
  <c r="I144" i="10"/>
  <c r="I136" i="10"/>
  <c r="I138" i="10"/>
  <c r="I140" i="10"/>
  <c r="I137" i="10"/>
  <c r="I142" i="10"/>
  <c r="G133" i="10"/>
  <c r="I133" i="10" s="1"/>
  <c r="G137" i="10"/>
  <c r="G141" i="10"/>
  <c r="I141" i="10" s="1"/>
  <c r="H120" i="9"/>
  <c r="H136" i="9" s="1"/>
  <c r="N61" i="9"/>
  <c r="N120" i="9" s="1"/>
  <c r="H139" i="9" s="1"/>
  <c r="L61" i="9"/>
  <c r="L120" i="9" s="1"/>
  <c r="H138" i="9" s="1"/>
  <c r="X120" i="9"/>
  <c r="H144" i="9" s="1"/>
  <c r="V120" i="9"/>
  <c r="T120" i="9"/>
  <c r="R120" i="9"/>
  <c r="H141" i="9" s="1"/>
  <c r="B120" i="9"/>
  <c r="H133" i="9" s="1"/>
  <c r="F120" i="9"/>
  <c r="H135" i="9" s="1"/>
  <c r="D120" i="9"/>
  <c r="H134" i="9" s="1"/>
  <c r="P61" i="9"/>
  <c r="P120" i="9" s="1"/>
  <c r="H140" i="9" s="1"/>
  <c r="O121" i="9"/>
  <c r="M121" i="9"/>
  <c r="K121" i="9"/>
  <c r="O120" i="9"/>
  <c r="M120" i="9"/>
  <c r="K120" i="9"/>
  <c r="P60" i="9"/>
  <c r="O60" i="9"/>
  <c r="M60" i="9"/>
  <c r="K60" i="9"/>
  <c r="L19" i="9"/>
  <c r="N18" i="9"/>
  <c r="N17" i="9"/>
  <c r="L16" i="9"/>
  <c r="L15" i="9"/>
  <c r="N13" i="9"/>
  <c r="H142" i="9"/>
  <c r="H137" i="9"/>
  <c r="W121" i="9"/>
  <c r="U121" i="9"/>
  <c r="S121" i="9"/>
  <c r="Q121" i="9"/>
  <c r="I121" i="9"/>
  <c r="G121" i="9"/>
  <c r="F121" i="9"/>
  <c r="E121" i="9"/>
  <c r="C121" i="9"/>
  <c r="W120" i="9"/>
  <c r="U120" i="9"/>
  <c r="S120" i="9"/>
  <c r="Q120" i="9"/>
  <c r="I120" i="9"/>
  <c r="G120" i="9"/>
  <c r="C120" i="9"/>
  <c r="X60" i="9"/>
  <c r="G144" i="9" s="1"/>
  <c r="W60" i="9"/>
  <c r="V60" i="9"/>
  <c r="G143" i="9" s="1"/>
  <c r="U60" i="9"/>
  <c r="T60" i="9"/>
  <c r="G142" i="9" s="1"/>
  <c r="S60" i="9"/>
  <c r="R60" i="9"/>
  <c r="Q60" i="9"/>
  <c r="J60" i="9"/>
  <c r="J121" i="9" s="1"/>
  <c r="I60" i="9"/>
  <c r="H60" i="9"/>
  <c r="G136" i="9" s="1"/>
  <c r="G60" i="9"/>
  <c r="F60" i="9"/>
  <c r="G135" i="9" s="1"/>
  <c r="E60" i="9"/>
  <c r="D60" i="9"/>
  <c r="G134" i="9" s="1"/>
  <c r="C60" i="9"/>
  <c r="B60" i="9"/>
  <c r="J133" i="10" l="1"/>
  <c r="J134" i="10" s="1"/>
  <c r="J135" i="10" s="1"/>
  <c r="J136" i="10" s="1"/>
  <c r="J137" i="10" s="1"/>
  <c r="J138" i="10" s="1"/>
  <c r="J139" i="10" s="1"/>
  <c r="J140" i="10" s="1"/>
  <c r="J141" i="10" s="1"/>
  <c r="J142" i="10" s="1"/>
  <c r="J143" i="10" s="1"/>
  <c r="J144" i="10" s="1"/>
  <c r="L60" i="9"/>
  <c r="G138" i="9" s="1"/>
  <c r="I138" i="9" s="1"/>
  <c r="N60" i="9"/>
  <c r="N121" i="9" s="1"/>
  <c r="V121" i="9"/>
  <c r="I135" i="9"/>
  <c r="H143" i="9"/>
  <c r="I143" i="9" s="1"/>
  <c r="R121" i="9"/>
  <c r="B121" i="9"/>
  <c r="P121" i="9"/>
  <c r="G140" i="9"/>
  <c r="I134" i="9"/>
  <c r="I144" i="9"/>
  <c r="I140" i="9"/>
  <c r="I142" i="9"/>
  <c r="I136" i="9"/>
  <c r="H121" i="9"/>
  <c r="X121" i="9"/>
  <c r="G133" i="9"/>
  <c r="I133" i="9" s="1"/>
  <c r="G137" i="9"/>
  <c r="I137" i="9" s="1"/>
  <c r="G141" i="9"/>
  <c r="I141" i="9" s="1"/>
  <c r="D121" i="9"/>
  <c r="T121" i="9"/>
  <c r="G139" i="9" l="1"/>
  <c r="I139" i="9" s="1"/>
  <c r="J133" i="9" s="1"/>
  <c r="J134" i="9" s="1"/>
  <c r="J135" i="9" s="1"/>
  <c r="J136" i="9" s="1"/>
  <c r="J137" i="9" s="1"/>
  <c r="J138" i="9" s="1"/>
  <c r="J139" i="9" s="1"/>
  <c r="J140" i="9" s="1"/>
  <c r="J141" i="9" s="1"/>
  <c r="J142" i="9" s="1"/>
  <c r="J143" i="9" s="1"/>
  <c r="J144" i="9" s="1"/>
  <c r="L121" i="9"/>
</calcChain>
</file>

<file path=xl/sharedStrings.xml><?xml version="1.0" encoding="utf-8"?>
<sst xmlns="http://schemas.openxmlformats.org/spreadsheetml/2006/main" count="228" uniqueCount="46">
  <si>
    <t>Transaktionen</t>
  </si>
  <si>
    <t>Objekt</t>
  </si>
  <si>
    <t>Essen</t>
  </si>
  <si>
    <t>Kleidung</t>
  </si>
  <si>
    <t>Apotheke</t>
  </si>
  <si>
    <t>Summe</t>
  </si>
  <si>
    <t>Bootfahren</t>
  </si>
  <si>
    <t>Monat</t>
  </si>
  <si>
    <t>sonstiges</t>
  </si>
  <si>
    <t>Einnahmen</t>
  </si>
  <si>
    <t>Ausgaben</t>
  </si>
  <si>
    <t>Diff</t>
  </si>
  <si>
    <t>Mittel</t>
  </si>
  <si>
    <t>Wetten</t>
  </si>
  <si>
    <t>Malen</t>
  </si>
  <si>
    <t>KAPITAL</t>
  </si>
  <si>
    <t>Summe -</t>
  </si>
  <si>
    <t xml:space="preserve">Summe + </t>
  </si>
  <si>
    <t>Taschengeld</t>
  </si>
  <si>
    <t>KeSt</t>
  </si>
  <si>
    <t>DKB-Visa</t>
  </si>
  <si>
    <t>Kosmetik</t>
  </si>
  <si>
    <t>Generali LifePlan</t>
  </si>
  <si>
    <t xml:space="preserve"> </t>
  </si>
  <si>
    <t>DKB VISAKONTO</t>
  </si>
  <si>
    <t>DKB-GIRO</t>
  </si>
  <si>
    <t>RAIKA-GIRO</t>
  </si>
  <si>
    <t>ING-GIRO</t>
  </si>
  <si>
    <t>ING-SPAREN</t>
  </si>
  <si>
    <t>ÜBERSICHT</t>
  </si>
  <si>
    <t>GESAMT</t>
  </si>
  <si>
    <t>SONSTIGES</t>
  </si>
  <si>
    <t>TASCHENGELD</t>
  </si>
  <si>
    <t>KLEIDUNG</t>
  </si>
  <si>
    <t>TANKEN</t>
  </si>
  <si>
    <t>ESSEN</t>
  </si>
  <si>
    <t>Datum</t>
  </si>
  <si>
    <t>Konten</t>
  </si>
  <si>
    <t>Raika - Giro</t>
  </si>
  <si>
    <t>ING - Giro</t>
  </si>
  <si>
    <t>ING - Sparkonto</t>
  </si>
  <si>
    <t>DKB - Giro</t>
  </si>
  <si>
    <t>DKB - Visa</t>
  </si>
  <si>
    <t xml:space="preserve">KONTO </t>
  </si>
  <si>
    <t>Tanken</t>
  </si>
  <si>
    <t>Summe E+T+K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</si>
</sst>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CC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CC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9" tint="-0.249977111117893"/>
      <name val="Calibri Light"/>
      <family val="2"/>
      <scheme val="major"/>
    </font>
    <font>
      <sz val="20"/>
      <color rgb="FF000000"/>
      <name val="Calibri"/>
      <family val="2"/>
    </font>
    <font>
      <sz val="26"/>
      <color rgb="FF000000"/>
      <name val="Calibri"/>
      <family val="2"/>
    </font>
    <font>
      <sz val="22"/>
      <color rgb="FF000000"/>
      <name val="Calibri Light"/>
      <family val="2"/>
    </font>
    <font>
      <sz val="18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CC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CC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4B47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double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1" xfId="0" applyFont="1" applyBorder="1"/>
    <xf numFmtId="0" fontId="1" fillId="0" borderId="24" xfId="0" applyFont="1" applyBorder="1"/>
    <xf numFmtId="0" fontId="1" fillId="0" borderId="25" xfId="0" applyFont="1" applyBorder="1" applyAlignment="1">
      <alignment horizontal="right" vertical="center"/>
    </xf>
    <xf numFmtId="0" fontId="1" fillId="0" borderId="26" xfId="0" applyFont="1" applyBorder="1"/>
    <xf numFmtId="0" fontId="1" fillId="0" borderId="27" xfId="0" applyFont="1" applyBorder="1" applyAlignment="1">
      <alignment horizontal="right" vertical="center"/>
    </xf>
    <xf numFmtId="0" fontId="1" fillId="0" borderId="2" xfId="0" applyFont="1" applyBorder="1"/>
    <xf numFmtId="0" fontId="1" fillId="0" borderId="28" xfId="0" applyFont="1" applyBorder="1" applyAlignment="1">
      <alignment horizontal="right" vertical="center"/>
    </xf>
    <xf numFmtId="0" fontId="3" fillId="0" borderId="6" xfId="0" applyFont="1" applyBorder="1" applyAlignment="1"/>
    <xf numFmtId="2" fontId="4" fillId="0" borderId="18" xfId="0" applyNumberFormat="1" applyFont="1" applyBorder="1" applyAlignment="1">
      <alignment horizontal="right" vertical="center"/>
    </xf>
    <xf numFmtId="0" fontId="3" fillId="0" borderId="3" xfId="0" applyFont="1" applyBorder="1" applyAlignment="1"/>
    <xf numFmtId="2" fontId="4" fillId="0" borderId="19" xfId="0" applyNumberFormat="1" applyFont="1" applyBorder="1" applyAlignment="1">
      <alignment horizontal="right" vertical="center"/>
    </xf>
    <xf numFmtId="0" fontId="3" fillId="0" borderId="0" xfId="0" applyFont="1" applyBorder="1" applyAlignment="1"/>
    <xf numFmtId="2" fontId="4" fillId="0" borderId="15" xfId="0" applyNumberFormat="1" applyFont="1" applyBorder="1" applyAlignment="1">
      <alignment horizontal="right" vertical="center"/>
    </xf>
    <xf numFmtId="0" fontId="4" fillId="0" borderId="19" xfId="0" applyFont="1" applyBorder="1"/>
    <xf numFmtId="0" fontId="4" fillId="0" borderId="18" xfId="0" applyFont="1" applyBorder="1"/>
    <xf numFmtId="0" fontId="4" fillId="0" borderId="15" xfId="0" applyFont="1" applyBorder="1"/>
    <xf numFmtId="0" fontId="3" fillId="0" borderId="0" xfId="0" applyFont="1" applyFill="1" applyBorder="1" applyAlignment="1"/>
    <xf numFmtId="0" fontId="3" fillId="0" borderId="3" xfId="0" applyFont="1" applyFill="1" applyBorder="1" applyAlignment="1"/>
    <xf numFmtId="0" fontId="5" fillId="0" borderId="18" xfId="0" applyFont="1" applyBorder="1"/>
    <xf numFmtId="0" fontId="5" fillId="0" borderId="19" xfId="0" applyFont="1" applyBorder="1"/>
    <xf numFmtId="2" fontId="4" fillId="0" borderId="18" xfId="0" applyNumberFormat="1" applyFont="1" applyBorder="1"/>
    <xf numFmtId="2" fontId="4" fillId="0" borderId="19" xfId="0" applyNumberFormat="1" applyFont="1" applyBorder="1"/>
    <xf numFmtId="2" fontId="4" fillId="0" borderId="15" xfId="0" applyNumberFormat="1" applyFont="1" applyBorder="1"/>
    <xf numFmtId="0" fontId="3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1" xfId="0" applyFont="1" applyBorder="1"/>
    <xf numFmtId="2" fontId="4" fillId="0" borderId="1" xfId="0" applyNumberFormat="1" applyFont="1" applyBorder="1"/>
    <xf numFmtId="0" fontId="6" fillId="0" borderId="1" xfId="0" applyFont="1" applyBorder="1"/>
    <xf numFmtId="0" fontId="7" fillId="0" borderId="1" xfId="0" applyFont="1" applyBorder="1"/>
    <xf numFmtId="0" fontId="3" fillId="5" borderId="12" xfId="0" applyFont="1" applyFill="1" applyBorder="1" applyAlignment="1"/>
    <xf numFmtId="2" fontId="4" fillId="5" borderId="20" xfId="0" applyNumberFormat="1" applyFont="1" applyFill="1" applyBorder="1"/>
    <xf numFmtId="0" fontId="3" fillId="5" borderId="14" xfId="0" applyFont="1" applyFill="1" applyBorder="1" applyAlignment="1"/>
    <xf numFmtId="2" fontId="4" fillId="5" borderId="22" xfId="0" applyNumberFormat="1" applyFont="1" applyFill="1" applyBorder="1"/>
    <xf numFmtId="0" fontId="3" fillId="5" borderId="13" xfId="0" applyFont="1" applyFill="1" applyBorder="1" applyAlignment="1"/>
    <xf numFmtId="2" fontId="4" fillId="5" borderId="16" xfId="0" applyNumberFormat="1" applyFont="1" applyFill="1" applyBorder="1"/>
    <xf numFmtId="0" fontId="3" fillId="6" borderId="12" xfId="0" applyFont="1" applyFill="1" applyBorder="1" applyAlignment="1"/>
    <xf numFmtId="0" fontId="5" fillId="6" borderId="20" xfId="0" applyFont="1" applyFill="1" applyBorder="1"/>
    <xf numFmtId="0" fontId="3" fillId="6" borderId="14" xfId="0" applyFont="1" applyFill="1" applyBorder="1"/>
    <xf numFmtId="0" fontId="3" fillId="6" borderId="13" xfId="0" applyFont="1" applyFill="1" applyBorder="1"/>
    <xf numFmtId="0" fontId="5" fillId="6" borderId="22" xfId="0" applyFont="1" applyFill="1" applyBorder="1"/>
    <xf numFmtId="0" fontId="3" fillId="6" borderId="14" xfId="0" applyFont="1" applyFill="1" applyBorder="1" applyAlignment="1"/>
    <xf numFmtId="0" fontId="5" fillId="6" borderId="16" xfId="0" applyFont="1" applyFill="1" applyBorder="1"/>
    <xf numFmtId="0" fontId="0" fillId="6" borderId="0" xfId="0" applyFill="1"/>
    <xf numFmtId="0" fontId="3" fillId="7" borderId="7" xfId="0" applyFont="1" applyFill="1" applyBorder="1"/>
    <xf numFmtId="2" fontId="3" fillId="7" borderId="21" xfId="0" applyNumberFormat="1" applyFont="1" applyFill="1" applyBorder="1"/>
    <xf numFmtId="0" fontId="3" fillId="7" borderId="11" xfId="0" applyFont="1" applyFill="1" applyBorder="1"/>
    <xf numFmtId="2" fontId="3" fillId="7" borderId="23" xfId="0" applyNumberFormat="1" applyFont="1" applyFill="1" applyBorder="1"/>
    <xf numFmtId="0" fontId="3" fillId="7" borderId="8" xfId="0" applyFont="1" applyFill="1" applyBorder="1"/>
    <xf numFmtId="2" fontId="3" fillId="7" borderId="17" xfId="0" applyNumberFormat="1" applyFont="1" applyFill="1" applyBorder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5" fillId="6" borderId="35" xfId="0" applyFont="1" applyFill="1" applyBorder="1"/>
    <xf numFmtId="2" fontId="5" fillId="0" borderId="18" xfId="0" applyNumberFormat="1" applyFont="1" applyBorder="1"/>
    <xf numFmtId="0" fontId="9" fillId="8" borderId="0" xfId="0" applyFont="1" applyFill="1"/>
    <xf numFmtId="0" fontId="0" fillId="9" borderId="0" xfId="0" applyFill="1"/>
    <xf numFmtId="0" fontId="0" fillId="9" borderId="8" xfId="0" applyFill="1" applyBorder="1"/>
    <xf numFmtId="0" fontId="0" fillId="10" borderId="0" xfId="0" applyFill="1"/>
    <xf numFmtId="0" fontId="0" fillId="10" borderId="8" xfId="0" applyFill="1" applyBorder="1"/>
    <xf numFmtId="0" fontId="0" fillId="11" borderId="0" xfId="0" applyFill="1"/>
    <xf numFmtId="0" fontId="0" fillId="11" borderId="8" xfId="0" applyFill="1" applyBorder="1"/>
    <xf numFmtId="0" fontId="0" fillId="7" borderId="8" xfId="0" applyFill="1" applyBorder="1"/>
    <xf numFmtId="0" fontId="0" fillId="12" borderId="0" xfId="0" applyFill="1"/>
    <xf numFmtId="0" fontId="0" fillId="12" borderId="8" xfId="0" applyFill="1" applyBorder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Font="1" applyBorder="1" applyAlignment="1">
      <alignment horizontal="right"/>
    </xf>
    <xf numFmtId="3" fontId="0" fillId="0" borderId="1" xfId="0" applyNumberFormat="1" applyBorder="1" applyAlignment="1">
      <alignment horizontal="right"/>
    </xf>
    <xf numFmtId="2" fontId="5" fillId="6" borderId="22" xfId="0" applyNumberFormat="1" applyFont="1" applyFill="1" applyBorder="1"/>
    <xf numFmtId="2" fontId="5" fillId="6" borderId="20" xfId="0" applyNumberFormat="1" applyFont="1" applyFill="1" applyBorder="1"/>
    <xf numFmtId="2" fontId="5" fillId="6" borderId="16" xfId="0" applyNumberFormat="1" applyFont="1" applyFill="1" applyBorder="1"/>
    <xf numFmtId="14" fontId="0" fillId="0" borderId="0" xfId="0" applyNumberFormat="1"/>
    <xf numFmtId="0" fontId="8" fillId="10" borderId="0" xfId="0" applyFont="1" applyFill="1" applyBorder="1" applyAlignment="1">
      <alignment horizontal="center"/>
    </xf>
    <xf numFmtId="14" fontId="3" fillId="0" borderId="3" xfId="0" applyNumberFormat="1" applyFont="1" applyBorder="1" applyAlignment="1"/>
    <xf numFmtId="0" fontId="3" fillId="0" borderId="41" xfId="0" applyFont="1" applyBorder="1" applyAlignment="1"/>
    <xf numFmtId="0" fontId="1" fillId="0" borderId="42" xfId="0" applyFont="1" applyBorder="1"/>
    <xf numFmtId="0" fontId="15" fillId="0" borderId="1" xfId="0" applyFont="1" applyBorder="1"/>
    <xf numFmtId="0" fontId="16" fillId="2" borderId="1" xfId="0" applyFont="1" applyFill="1" applyBorder="1"/>
    <xf numFmtId="0" fontId="16" fillId="3" borderId="1" xfId="0" applyFont="1" applyFill="1" applyBorder="1"/>
    <xf numFmtId="0" fontId="16" fillId="10" borderId="1" xfId="0" applyFont="1" applyFill="1" applyBorder="1"/>
    <xf numFmtId="0" fontId="17" fillId="16" borderId="1" xfId="0" applyFont="1" applyFill="1" applyBorder="1"/>
    <xf numFmtId="0" fontId="16" fillId="16" borderId="1" xfId="0" applyFont="1" applyFill="1" applyBorder="1"/>
    <xf numFmtId="0" fontId="16" fillId="13" borderId="1" xfId="0" applyFont="1" applyFill="1" applyBorder="1"/>
    <xf numFmtId="0" fontId="0" fillId="17" borderId="1" xfId="0" applyFill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0" fillId="0" borderId="43" xfId="0" applyBorder="1" applyAlignment="1">
      <alignment horizontal="righ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10" fillId="8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8" fillId="9" borderId="32" xfId="0" applyFont="1" applyFill="1" applyBorder="1" applyAlignment="1">
      <alignment horizontal="center"/>
    </xf>
    <xf numFmtId="0" fontId="8" fillId="9" borderId="33" xfId="0" applyFont="1" applyFill="1" applyBorder="1" applyAlignment="1">
      <alignment horizontal="center"/>
    </xf>
    <xf numFmtId="0" fontId="8" fillId="9" borderId="34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8" fillId="10" borderId="31" xfId="0" applyFont="1" applyFill="1" applyBorder="1" applyAlignment="1">
      <alignment horizontal="center"/>
    </xf>
    <xf numFmtId="0" fontId="8" fillId="10" borderId="32" xfId="0" applyFont="1" applyFill="1" applyBorder="1" applyAlignment="1">
      <alignment horizontal="center"/>
    </xf>
    <xf numFmtId="0" fontId="8" fillId="15" borderId="33" xfId="0" applyFont="1" applyFill="1" applyBorder="1" applyAlignment="1">
      <alignment horizontal="center"/>
    </xf>
    <xf numFmtId="0" fontId="8" fillId="15" borderId="34" xfId="0" applyFont="1" applyFill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3" fillId="5" borderId="14" xfId="0" applyFont="1" applyFill="1" applyBorder="1" applyAlignment="1">
      <alignment horizontal="left"/>
    </xf>
    <xf numFmtId="0" fontId="3" fillId="5" borderId="37" xfId="0" applyFont="1" applyFill="1" applyBorder="1" applyAlignment="1">
      <alignment horizontal="left"/>
    </xf>
    <xf numFmtId="0" fontId="3" fillId="5" borderId="12" xfId="0" applyFont="1" applyFill="1" applyBorder="1" applyAlignment="1">
      <alignment horizontal="left"/>
    </xf>
    <xf numFmtId="0" fontId="3" fillId="7" borderId="38" xfId="0" applyFont="1" applyFill="1" applyBorder="1" applyAlignment="1">
      <alignment horizontal="left"/>
    </xf>
    <xf numFmtId="0" fontId="3" fillId="7" borderId="39" xfId="0" applyFont="1" applyFill="1" applyBorder="1" applyAlignment="1">
      <alignment horizontal="left"/>
    </xf>
    <xf numFmtId="0" fontId="3" fillId="6" borderId="12" xfId="0" applyFont="1" applyFill="1" applyBorder="1" applyAlignment="1">
      <alignment horizontal="left"/>
    </xf>
    <xf numFmtId="0" fontId="3" fillId="6" borderId="37" xfId="0" applyFont="1" applyFill="1" applyBorder="1" applyAlignment="1">
      <alignment horizontal="left"/>
    </xf>
    <xf numFmtId="0" fontId="3" fillId="6" borderId="14" xfId="0" applyFont="1" applyFill="1" applyBorder="1" applyAlignment="1">
      <alignment horizontal="left"/>
    </xf>
    <xf numFmtId="0" fontId="3" fillId="7" borderId="40" xfId="0" applyFont="1" applyFill="1" applyBorder="1" applyAlignment="1">
      <alignment horizontal="left"/>
    </xf>
    <xf numFmtId="0" fontId="3" fillId="6" borderId="13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center"/>
    </xf>
    <xf numFmtId="0" fontId="8" fillId="11" borderId="32" xfId="0" applyFont="1" applyFill="1" applyBorder="1" applyAlignment="1">
      <alignment horizontal="center"/>
    </xf>
    <xf numFmtId="0" fontId="8" fillId="11" borderId="33" xfId="0" applyFont="1" applyFill="1" applyBorder="1" applyAlignment="1">
      <alignment horizontal="center"/>
    </xf>
    <xf numFmtId="0" fontId="8" fillId="11" borderId="34" xfId="0" applyFont="1" applyFill="1" applyBorder="1" applyAlignment="1">
      <alignment horizontal="center"/>
    </xf>
    <xf numFmtId="0" fontId="8" fillId="12" borderId="31" xfId="0" applyFont="1" applyFill="1" applyBorder="1" applyAlignment="1">
      <alignment horizontal="center"/>
    </xf>
    <xf numFmtId="0" fontId="8" fillId="12" borderId="32" xfId="0" applyFont="1" applyFill="1" applyBorder="1" applyAlignment="1">
      <alignment horizontal="center"/>
    </xf>
    <xf numFmtId="0" fontId="8" fillId="12" borderId="33" xfId="0" applyFont="1" applyFill="1" applyBorder="1" applyAlignment="1">
      <alignment horizontal="center"/>
    </xf>
    <xf numFmtId="0" fontId="8" fillId="12" borderId="34" xfId="0" applyFont="1" applyFill="1" applyBorder="1" applyAlignment="1">
      <alignment horizontal="center"/>
    </xf>
    <xf numFmtId="0" fontId="8" fillId="7" borderId="31" xfId="0" applyFont="1" applyFill="1" applyBorder="1" applyAlignment="1">
      <alignment horizontal="center"/>
    </xf>
    <xf numFmtId="0" fontId="8" fillId="7" borderId="32" xfId="0" applyFont="1" applyFill="1" applyBorder="1" applyAlignment="1">
      <alignment horizontal="center"/>
    </xf>
    <xf numFmtId="0" fontId="8" fillId="7" borderId="33" xfId="0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  <xf numFmtId="0" fontId="15" fillId="0" borderId="1" xfId="0" applyFont="1" applyBorder="1" applyAlignment="1">
      <alignment horizontal="center"/>
    </xf>
    <xf numFmtId="2" fontId="19" fillId="0" borderId="1" xfId="0" applyNumberFormat="1" applyFont="1" applyBorder="1"/>
    <xf numFmtId="2" fontId="20" fillId="0" borderId="1" xfId="0" applyNumberFormat="1" applyFont="1" applyBorder="1"/>
    <xf numFmtId="2" fontId="21" fillId="0" borderId="1" xfId="0" applyNumberFormat="1" applyFont="1" applyBorder="1"/>
    <xf numFmtId="2" fontId="15" fillId="0" borderId="1" xfId="0" applyNumberFormat="1" applyFont="1" applyBorder="1"/>
    <xf numFmtId="2" fontId="0" fillId="0" borderId="1" xfId="0" applyNumberFormat="1" applyBorder="1"/>
    <xf numFmtId="2" fontId="22" fillId="0" borderId="1" xfId="0" applyNumberFormat="1" applyFont="1" applyBorder="1"/>
    <xf numFmtId="2" fontId="23" fillId="0" borderId="1" xfId="0" applyNumberFormat="1" applyFont="1" applyBorder="1"/>
    <xf numFmtId="14" fontId="4" fillId="0" borderId="18" xfId="0" applyNumberFormat="1" applyFont="1" applyBorder="1"/>
  </cellXfs>
  <cellStyles count="1">
    <cellStyle name="Standard" xfId="0" builtinId="0"/>
  </cellStyles>
  <dxfs count="330">
    <dxf>
      <font>
        <color rgb="FF00CC00"/>
      </font>
    </dxf>
    <dxf>
      <font>
        <color theme="1"/>
      </font>
    </dxf>
    <dxf>
      <font>
        <color rgb="FF00CC00"/>
      </font>
    </dxf>
    <dxf>
      <font>
        <color theme="1"/>
      </font>
    </dxf>
    <dxf>
      <font>
        <color rgb="FF00CC00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</dxf>
    <dxf>
      <font>
        <color rgb="FF00CC00"/>
      </font>
    </dxf>
    <dxf>
      <font>
        <color theme="1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CC00"/>
      <color rgb="FFF4B474"/>
      <color rgb="FFFFFFCC"/>
      <color rgb="FFFF7171"/>
      <color rgb="FFDF40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937260</xdr:colOff>
          <xdr:row>0</xdr:row>
          <xdr:rowOff>144780</xdr:rowOff>
        </xdr:from>
        <xdr:to>
          <xdr:col>10</xdr:col>
          <xdr:colOff>403860</xdr:colOff>
          <xdr:row>4</xdr:row>
          <xdr:rowOff>30480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AT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</xdr:colOff>
          <xdr:row>0</xdr:row>
          <xdr:rowOff>152400</xdr:rowOff>
        </xdr:from>
        <xdr:to>
          <xdr:col>6</xdr:col>
          <xdr:colOff>784860</xdr:colOff>
          <xdr:row>4</xdr:row>
          <xdr:rowOff>22860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AT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TRANSACTION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15240</xdr:rowOff>
        </xdr:from>
        <xdr:to>
          <xdr:col>7</xdr:col>
          <xdr:colOff>1066800</xdr:colOff>
          <xdr:row>3</xdr:row>
          <xdr:rowOff>15240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632460</xdr:colOff>
          <xdr:row>1</xdr:row>
          <xdr:rowOff>30480</xdr:rowOff>
        </xdr:from>
        <xdr:to>
          <xdr:col>8</xdr:col>
          <xdr:colOff>213360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1181100</xdr:colOff>
          <xdr:row>1</xdr:row>
          <xdr:rowOff>15240</xdr:rowOff>
        </xdr:from>
        <xdr:to>
          <xdr:col>12</xdr:col>
          <xdr:colOff>0</xdr:colOff>
          <xdr:row>3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AT" sz="22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NEW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624840</xdr:colOff>
          <xdr:row>1</xdr:row>
          <xdr:rowOff>30480</xdr:rowOff>
        </xdr:from>
        <xdr:to>
          <xdr:col>15</xdr:col>
          <xdr:colOff>716280</xdr:colOff>
          <xdr:row>3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AT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F44C8-BDE2-43EB-AEF4-A3C9C7F773B3}">
  <sheetPr codeName="Tabelle2">
    <tabColor theme="0" tint="-4.9989318521683403E-2"/>
  </sheetPr>
  <dimension ref="A1:L22"/>
  <sheetViews>
    <sheetView zoomScale="88" workbookViewId="0">
      <selection activeCell="K18" sqref="K18"/>
    </sheetView>
  </sheetViews>
  <sheetFormatPr baseColWidth="10" defaultRowHeight="14.4"/>
  <cols>
    <col min="1" max="1" width="12.5546875" bestFit="1" customWidth="1"/>
    <col min="3" max="3" width="11.21875" bestFit="1" customWidth="1"/>
    <col min="4" max="4" width="16.5546875" bestFit="1" customWidth="1"/>
    <col min="5" max="5" width="14.6640625" bestFit="1" customWidth="1"/>
    <col min="6" max="6" width="15" bestFit="1" customWidth="1"/>
    <col min="7" max="7" width="14.44140625" bestFit="1" customWidth="1"/>
    <col min="8" max="8" width="6.109375" bestFit="1" customWidth="1"/>
    <col min="9" max="9" width="7.77734375" bestFit="1" customWidth="1"/>
    <col min="10" max="10" width="9.5546875" bestFit="1" customWidth="1"/>
    <col min="11" max="11" width="13" bestFit="1" customWidth="1"/>
    <col min="12" max="12" width="10.109375" bestFit="1" customWidth="1"/>
  </cols>
  <sheetData>
    <row r="1" spans="1:12" s="56" customFormat="1"/>
    <row r="2" spans="1:12" s="56" customFormat="1" ht="14.4" customHeight="1">
      <c r="B2" s="100" t="s">
        <v>29</v>
      </c>
      <c r="C2" s="100"/>
      <c r="D2" s="100">
        <v>2020</v>
      </c>
    </row>
    <row r="3" spans="1:12" s="52" customFormat="1">
      <c r="B3" s="100"/>
      <c r="C3" s="100"/>
      <c r="D3" s="100"/>
    </row>
    <row r="4" spans="1:12" s="52" customFormat="1">
      <c r="B4" s="100"/>
      <c r="C4" s="100"/>
      <c r="D4" s="100"/>
    </row>
    <row r="5" spans="1:12" s="53" customFormat="1" ht="15" thickBot="1"/>
    <row r="6" spans="1:12" ht="15" thickTop="1">
      <c r="A6" s="98" t="s">
        <v>43</v>
      </c>
      <c r="B6" s="66" t="s">
        <v>26</v>
      </c>
      <c r="C6" s="67" t="s">
        <v>27</v>
      </c>
      <c r="D6" s="68" t="s">
        <v>28</v>
      </c>
      <c r="E6" s="69" t="s">
        <v>25</v>
      </c>
      <c r="F6" s="70" t="s">
        <v>24</v>
      </c>
      <c r="G6" s="71" t="s">
        <v>30</v>
      </c>
      <c r="H6" t="s">
        <v>35</v>
      </c>
      <c r="I6" t="s">
        <v>34</v>
      </c>
      <c r="J6" t="s">
        <v>33</v>
      </c>
      <c r="K6" t="s">
        <v>32</v>
      </c>
      <c r="L6" t="s">
        <v>31</v>
      </c>
    </row>
    <row r="7" spans="1:12">
      <c r="A7" s="99">
        <v>0</v>
      </c>
      <c r="B7" s="97">
        <v>-1014</v>
      </c>
      <c r="C7" s="73">
        <v>0</v>
      </c>
      <c r="D7" s="72">
        <v>0</v>
      </c>
      <c r="E7" s="72">
        <v>0</v>
      </c>
      <c r="F7" s="72">
        <v>-1014</v>
      </c>
      <c r="G7" s="74">
        <v>0</v>
      </c>
    </row>
    <row r="10" spans="1:12" ht="15.6">
      <c r="A10" s="25" t="s">
        <v>37</v>
      </c>
      <c r="B10" s="91" t="s">
        <v>38</v>
      </c>
      <c r="C10" s="92" t="s">
        <v>39</v>
      </c>
      <c r="D10" s="93" t="s">
        <v>40</v>
      </c>
      <c r="E10" s="94" t="s">
        <v>41</v>
      </c>
      <c r="F10" s="95" t="s">
        <v>42</v>
      </c>
      <c r="G10" s="96" t="s">
        <v>5</v>
      </c>
    </row>
    <row r="11" spans="1:12">
      <c r="A11" s="83">
        <v>1</v>
      </c>
      <c r="B11" s="84">
        <v>0</v>
      </c>
      <c r="C11" s="85">
        <v>0</v>
      </c>
      <c r="D11" s="86">
        <v>0</v>
      </c>
      <c r="E11" s="87">
        <f>SUM(B11:D11)</f>
        <v>0</v>
      </c>
      <c r="F11" s="89">
        <v>0</v>
      </c>
      <c r="G11" s="90">
        <f>SUM(B11:F11)</f>
        <v>0</v>
      </c>
    </row>
    <row r="12" spans="1:12">
      <c r="A12" s="83">
        <v>2</v>
      </c>
      <c r="B12" s="84">
        <v>0</v>
      </c>
      <c r="C12" s="85">
        <v>0</v>
      </c>
      <c r="D12" s="86">
        <v>0</v>
      </c>
      <c r="E12" s="87">
        <f t="shared" ref="E12:E16" si="0">SUM(B12:D12)</f>
        <v>0</v>
      </c>
      <c r="F12" s="89">
        <v>0</v>
      </c>
      <c r="G12" s="90">
        <f t="shared" ref="G12:G14" si="1">SUM(B12:F12)</f>
        <v>0</v>
      </c>
    </row>
    <row r="13" spans="1:12">
      <c r="A13" s="83">
        <v>3</v>
      </c>
      <c r="B13" s="84">
        <v>0</v>
      </c>
      <c r="C13" s="85">
        <v>0</v>
      </c>
      <c r="D13" s="86">
        <v>0</v>
      </c>
      <c r="E13" s="87">
        <f t="shared" si="0"/>
        <v>0</v>
      </c>
      <c r="F13" s="89">
        <v>0</v>
      </c>
      <c r="G13" s="90">
        <f t="shared" si="1"/>
        <v>0</v>
      </c>
    </row>
    <row r="14" spans="1:12">
      <c r="A14" s="83">
        <v>4</v>
      </c>
      <c r="B14" s="84">
        <v>0</v>
      </c>
      <c r="C14" s="85">
        <v>0</v>
      </c>
      <c r="D14" s="86">
        <v>0</v>
      </c>
      <c r="E14" s="87">
        <f t="shared" si="0"/>
        <v>0</v>
      </c>
      <c r="F14" s="89">
        <v>0</v>
      </c>
      <c r="G14" s="90">
        <f t="shared" si="1"/>
        <v>0</v>
      </c>
    </row>
    <row r="15" spans="1:12">
      <c r="A15" s="83">
        <v>5</v>
      </c>
      <c r="B15" s="84">
        <v>0</v>
      </c>
      <c r="C15" s="85">
        <v>0</v>
      </c>
      <c r="D15" s="86">
        <v>0</v>
      </c>
      <c r="E15" s="87">
        <f t="shared" si="0"/>
        <v>0</v>
      </c>
      <c r="F15" s="89">
        <v>0</v>
      </c>
      <c r="G15" s="90">
        <v>0</v>
      </c>
    </row>
    <row r="16" spans="1:12">
      <c r="A16" s="83">
        <v>6</v>
      </c>
      <c r="B16" s="84">
        <v>0</v>
      </c>
      <c r="C16" s="85">
        <v>0</v>
      </c>
      <c r="D16" s="86">
        <v>0</v>
      </c>
      <c r="E16" s="87">
        <f t="shared" si="0"/>
        <v>0</v>
      </c>
      <c r="F16" s="89">
        <v>0</v>
      </c>
      <c r="G16" s="90">
        <v>0</v>
      </c>
    </row>
    <row r="17" spans="1:7" ht="18.600000000000001" customHeight="1">
      <c r="A17" s="83">
        <v>7</v>
      </c>
      <c r="B17" s="84">
        <v>0</v>
      </c>
      <c r="C17" s="85">
        <v>0</v>
      </c>
      <c r="D17" s="86">
        <v>0</v>
      </c>
      <c r="E17" s="88">
        <v>0</v>
      </c>
      <c r="F17" s="89">
        <v>0</v>
      </c>
      <c r="G17" s="90">
        <v>0</v>
      </c>
    </row>
    <row r="18" spans="1:7">
      <c r="A18" s="83">
        <v>8</v>
      </c>
      <c r="B18" s="84">
        <v>0</v>
      </c>
      <c r="C18" s="85">
        <v>0</v>
      </c>
      <c r="D18" s="86">
        <v>0</v>
      </c>
      <c r="E18" s="88">
        <v>0</v>
      </c>
      <c r="F18" s="89">
        <v>0</v>
      </c>
      <c r="G18" s="90">
        <v>0</v>
      </c>
    </row>
    <row r="19" spans="1:7">
      <c r="A19" s="83">
        <v>9</v>
      </c>
      <c r="B19" s="84">
        <v>0</v>
      </c>
      <c r="C19" s="85">
        <v>0</v>
      </c>
      <c r="D19" s="86">
        <v>0</v>
      </c>
      <c r="E19" s="88">
        <v>0</v>
      </c>
      <c r="F19" s="89">
        <v>0</v>
      </c>
      <c r="G19" s="90">
        <v>0</v>
      </c>
    </row>
    <row r="20" spans="1:7">
      <c r="A20" s="83">
        <v>10</v>
      </c>
      <c r="B20" s="84">
        <v>0</v>
      </c>
      <c r="C20" s="85">
        <v>0</v>
      </c>
      <c r="D20" s="86">
        <v>0</v>
      </c>
      <c r="E20" s="88">
        <v>0</v>
      </c>
      <c r="F20" s="89">
        <v>0</v>
      </c>
      <c r="G20" s="90">
        <v>0</v>
      </c>
    </row>
    <row r="21" spans="1:7">
      <c r="A21" s="83">
        <v>11</v>
      </c>
      <c r="B21" s="84">
        <v>0</v>
      </c>
      <c r="C21" s="85">
        <v>0</v>
      </c>
      <c r="D21" s="86">
        <v>0</v>
      </c>
      <c r="E21" s="88">
        <v>0</v>
      </c>
      <c r="F21" s="89">
        <v>0</v>
      </c>
      <c r="G21" s="90">
        <v>0</v>
      </c>
    </row>
    <row r="22" spans="1:7">
      <c r="A22" s="83">
        <v>12</v>
      </c>
      <c r="B22" s="84">
        <v>0</v>
      </c>
      <c r="C22" s="85">
        <v>0</v>
      </c>
      <c r="D22" s="86">
        <v>0</v>
      </c>
      <c r="E22" s="88">
        <v>0</v>
      </c>
      <c r="F22" s="89">
        <v>0</v>
      </c>
      <c r="G22" s="90">
        <v>0</v>
      </c>
    </row>
  </sheetData>
  <mergeCells count="2">
    <mergeCell ref="B2:C4"/>
    <mergeCell ref="D2:D4"/>
  </mergeCells>
  <conditionalFormatting sqref="B7:G7">
    <cfRule type="cellIs" dxfId="329" priority="1" operator="equal">
      <formula>0</formula>
    </cfRule>
    <cfRule type="cellIs" dxfId="328" priority="2" operator="lessThan">
      <formula>0</formula>
    </cfRule>
    <cfRule type="cellIs" dxfId="327" priority="3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ynch">
                <anchor moveWithCells="1" sizeWithCells="1">
                  <from>
                    <xdr:col>6</xdr:col>
                    <xdr:colOff>937260</xdr:colOff>
                    <xdr:row>0</xdr:row>
                    <xdr:rowOff>144780</xdr:rowOff>
                  </from>
                  <to>
                    <xdr:col>10</xdr:col>
                    <xdr:colOff>403860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tart_transaction">
                <anchor moveWithCells="1" sizeWithCells="1">
                  <from>
                    <xdr:col>4</xdr:col>
                    <xdr:colOff>358140</xdr:colOff>
                    <xdr:row>0</xdr:row>
                    <xdr:rowOff>152400</xdr:rowOff>
                  </from>
                  <to>
                    <xdr:col>6</xdr:col>
                    <xdr:colOff>784860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B64BE-4415-4EE1-AFCB-945D94797F76}">
  <sheetPr codeName="Tabelle4">
    <tabColor rgb="FFFFFF00"/>
  </sheetPr>
  <dimension ref="A1:Y157"/>
  <sheetViews>
    <sheetView topLeftCell="A3" zoomScale="54" zoomScaleNormal="54" workbookViewId="0">
      <selection activeCell="X15" sqref="V12:X15"/>
    </sheetView>
  </sheetViews>
  <sheetFormatPr baseColWidth="10" defaultRowHeight="14.4"/>
  <cols>
    <col min="1" max="1" width="11.6640625" bestFit="1" customWidth="1"/>
    <col min="2" max="2" width="17.77734375" bestFit="1" customWidth="1"/>
    <col min="3" max="3" width="13.5546875" customWidth="1"/>
    <col min="4" max="4" width="17.77734375" bestFit="1" customWidth="1"/>
    <col min="5" max="5" width="11" customWidth="1"/>
    <col min="6" max="6" width="17.77734375" bestFit="1" customWidth="1"/>
    <col min="7" max="7" width="11.6640625" customWidth="1"/>
    <col min="8" max="8" width="17.77734375" bestFit="1" customWidth="1"/>
    <col min="9" max="9" width="11.6640625" customWidth="1"/>
    <col min="10" max="10" width="17.77734375" bestFit="1" customWidth="1"/>
    <col min="11" max="11" width="18.33203125" customWidth="1"/>
    <col min="12" max="12" width="17.77734375" bestFit="1" customWidth="1"/>
    <col min="13" max="13" width="13.77734375" customWidth="1"/>
    <col min="14" max="14" width="17.77734375" bestFit="1" customWidth="1"/>
    <col min="15" max="15" width="13.77734375" customWidth="1"/>
    <col min="16" max="16" width="17.77734375" bestFit="1" customWidth="1"/>
    <col min="17" max="17" width="1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5" s="57" customFormat="1" ht="15" thickBot="1"/>
    <row r="2" spans="1:25" s="57" customFormat="1" ht="37.200000000000003" thickTop="1">
      <c r="B2" s="103" t="s">
        <v>15</v>
      </c>
      <c r="C2" s="104"/>
    </row>
    <row r="3" spans="1:25" s="57" customFormat="1" ht="37.200000000000003" thickBot="1">
      <c r="B3" s="105">
        <v>0</v>
      </c>
      <c r="C3" s="106"/>
      <c r="D3" s="57">
        <v>0</v>
      </c>
    </row>
    <row r="4" spans="1:25" s="57" customFormat="1" ht="15" thickTop="1"/>
    <row r="5" spans="1:25" s="57" customFormat="1"/>
    <row r="6" spans="1:25" s="57" customFormat="1" ht="15" thickBot="1">
      <c r="A6" s="58"/>
      <c r="B6" s="58"/>
      <c r="C6" s="58"/>
      <c r="D6" s="58"/>
      <c r="E6" s="58"/>
      <c r="F6" s="58"/>
      <c r="G6" s="58"/>
      <c r="H6" s="58"/>
      <c r="I6" s="58"/>
      <c r="J6" s="58" t="s">
        <v>23</v>
      </c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25" ht="15" thickTop="1"/>
    <row r="9" spans="1:25" ht="15" thickBot="1"/>
    <row r="10" spans="1:25" ht="27" thickTop="1" thickBot="1">
      <c r="A10" s="109">
        <v>1</v>
      </c>
      <c r="B10" s="110"/>
      <c r="C10" s="107">
        <v>2</v>
      </c>
      <c r="D10" s="108"/>
      <c r="E10" s="101">
        <v>3</v>
      </c>
      <c r="F10" s="101"/>
      <c r="G10" s="107">
        <v>4</v>
      </c>
      <c r="H10" s="108"/>
      <c r="I10" s="101">
        <v>5</v>
      </c>
      <c r="J10" s="101"/>
      <c r="K10" s="107">
        <v>6</v>
      </c>
      <c r="L10" s="108"/>
      <c r="M10" s="101">
        <v>7</v>
      </c>
      <c r="N10" s="101"/>
      <c r="O10" s="107">
        <v>8</v>
      </c>
      <c r="P10" s="108"/>
      <c r="Q10" s="101">
        <v>9</v>
      </c>
      <c r="R10" s="101"/>
      <c r="S10" s="107">
        <v>10</v>
      </c>
      <c r="T10" s="108"/>
      <c r="U10" s="101">
        <v>11</v>
      </c>
      <c r="V10" s="101"/>
      <c r="W10" s="101">
        <v>12</v>
      </c>
      <c r="X10" s="102"/>
    </row>
    <row r="11" spans="1:25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5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 t="s">
        <v>19</v>
      </c>
      <c r="L12" s="11">
        <v>-0.1</v>
      </c>
      <c r="M12" s="12" t="s">
        <v>19</v>
      </c>
      <c r="N12" s="9">
        <v>-0.12</v>
      </c>
      <c r="O12" s="10" t="s">
        <v>14</v>
      </c>
      <c r="P12" s="11">
        <v>-14.23</v>
      </c>
      <c r="Q12" s="12"/>
      <c r="R12" s="9"/>
      <c r="S12" s="10"/>
      <c r="T12" s="11"/>
      <c r="U12" s="12"/>
      <c r="V12" s="9"/>
      <c r="W12" s="10"/>
      <c r="X12" s="13"/>
    </row>
    <row r="13" spans="1:25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 t="s">
        <v>18</v>
      </c>
      <c r="L13" s="11">
        <v>-500</v>
      </c>
      <c r="M13" s="12" t="s">
        <v>2</v>
      </c>
      <c r="N13" s="9">
        <f>-14.05-8.3</f>
        <v>-22.35</v>
      </c>
      <c r="O13" s="10" t="s">
        <v>18</v>
      </c>
      <c r="P13" s="11">
        <v>-100</v>
      </c>
      <c r="Q13" s="12"/>
      <c r="R13" s="9"/>
      <c r="S13" s="10"/>
      <c r="T13" s="11"/>
      <c r="U13" s="12"/>
      <c r="V13" s="9"/>
      <c r="W13" s="10"/>
      <c r="X13" s="13"/>
    </row>
    <row r="14" spans="1:25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 t="s">
        <v>22</v>
      </c>
      <c r="L14" s="11">
        <v>-100.01</v>
      </c>
      <c r="M14" s="12" t="s">
        <v>18</v>
      </c>
      <c r="N14" s="15">
        <v>-500</v>
      </c>
      <c r="O14" s="10"/>
      <c r="P14" s="14"/>
      <c r="Q14" s="12"/>
      <c r="R14" s="15"/>
      <c r="S14" s="10"/>
      <c r="T14" s="14"/>
      <c r="U14" s="12"/>
      <c r="V14" s="146"/>
      <c r="W14" s="10"/>
      <c r="X14" s="16"/>
    </row>
    <row r="15" spans="1:25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 t="s">
        <v>3</v>
      </c>
      <c r="L15" s="11">
        <f>-16.99</f>
        <v>-16.989999999999998</v>
      </c>
      <c r="M15" s="12" t="s">
        <v>20</v>
      </c>
      <c r="N15" s="9">
        <v>-100</v>
      </c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5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 t="s">
        <v>2</v>
      </c>
      <c r="L16" s="11">
        <f>-21-55.16-9.78-9.72-14.6-3.1</f>
        <v>-113.35999999999999</v>
      </c>
      <c r="M16" s="12" t="s">
        <v>6</v>
      </c>
      <c r="N16" s="9">
        <v>-36</v>
      </c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 t="s">
        <v>4</v>
      </c>
      <c r="L17" s="11">
        <v>-23.9</v>
      </c>
      <c r="M17" s="12" t="s">
        <v>21</v>
      </c>
      <c r="N17" s="9">
        <f>-14.98</f>
        <v>-14.98</v>
      </c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 t="s">
        <v>13</v>
      </c>
      <c r="L18" s="11">
        <v>-25</v>
      </c>
      <c r="M18" s="17" t="s">
        <v>8</v>
      </c>
      <c r="N18" s="9">
        <f>-32.5-21.98-29.98-8.66-19.99</f>
        <v>-113.11</v>
      </c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 t="s">
        <v>8</v>
      </c>
      <c r="L19" s="11">
        <f>-50-32.37-23.8-28.26</f>
        <v>-134.43</v>
      </c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20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20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20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20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20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20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20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20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20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20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20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20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20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20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20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20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20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20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20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20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20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20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20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20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20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20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20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20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20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20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20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20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20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-913.79</v>
      </c>
      <c r="M60" s="35" t="str">
        <f>A60</f>
        <v>Summe -</v>
      </c>
      <c r="N60" s="32">
        <f>SUM(N12:N59)</f>
        <v>-786.56000000000006</v>
      </c>
      <c r="O60" s="33" t="str">
        <f>A60</f>
        <v>Summe -</v>
      </c>
      <c r="P60" s="34">
        <f>SUM(P12:P59)</f>
        <v>-114.23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54">
        <f>550+0.41+9+10+480+10</f>
        <v>1059.4099999999999</v>
      </c>
      <c r="M61" s="12"/>
      <c r="N61" s="55">
        <f>0.47+16.99+415+1925.46+60</f>
        <v>2417.92</v>
      </c>
      <c r="O61" s="10"/>
      <c r="P61" s="54">
        <f>415+21.98+500</f>
        <v>936.98</v>
      </c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5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5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5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5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5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5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5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5" s="44" customFormat="1" ht="16.2" thickBot="1">
      <c r="A120" s="37" t="s">
        <v>17</v>
      </c>
      <c r="B120" s="41">
        <f>SUM(B$61:B$119)</f>
        <v>0</v>
      </c>
      <c r="C120" s="39" t="str">
        <f>A120</f>
        <v xml:space="preserve">Summe + </v>
      </c>
      <c r="D120" s="41">
        <f>SUM(D$61:D$119)</f>
        <v>0</v>
      </c>
      <c r="E120" s="40" t="s">
        <v>23</v>
      </c>
      <c r="F120" s="41">
        <f>SUM(F$61:F$119)</f>
        <v>0</v>
      </c>
      <c r="G120" s="39" t="str">
        <f>A120</f>
        <v xml:space="preserve">Summe + </v>
      </c>
      <c r="H120" s="75">
        <f>SUM(H$61:H$119)</f>
        <v>0</v>
      </c>
      <c r="I120" s="40" t="str">
        <f>A120</f>
        <v xml:space="preserve">Summe + </v>
      </c>
      <c r="J120" s="38">
        <v>0</v>
      </c>
      <c r="K120" s="42" t="str">
        <f>A120</f>
        <v xml:space="preserve">Summe + </v>
      </c>
      <c r="L120" s="41">
        <f>SUM(L$61:L$119)</f>
        <v>1059.4099999999999</v>
      </c>
      <c r="M120" s="40" t="str">
        <f>A120</f>
        <v xml:space="preserve">Summe + </v>
      </c>
      <c r="N120" s="41">
        <f>SUM(N$61:N$119)</f>
        <v>2417.92</v>
      </c>
      <c r="O120" s="39" t="str">
        <f>A120</f>
        <v xml:space="preserve">Summe + </v>
      </c>
      <c r="P120" s="41">
        <f>SUM(P$61:P$119)</f>
        <v>936.98</v>
      </c>
      <c r="Q120" s="40" t="str">
        <f>A120</f>
        <v xml:space="preserve">Summe + </v>
      </c>
      <c r="R120" s="41">
        <f>SUM(R$61:R$119)</f>
        <v>0</v>
      </c>
      <c r="S120" s="39" t="str">
        <f>A120</f>
        <v xml:space="preserve">Summe + </v>
      </c>
      <c r="T120" s="41">
        <f>SUM(T$61:T$119)</f>
        <v>0</v>
      </c>
      <c r="U120" s="40" t="str">
        <f>A120</f>
        <v xml:space="preserve">Summe + </v>
      </c>
      <c r="V120" s="41">
        <f>SUM(V$61:V$119)</f>
        <v>0</v>
      </c>
      <c r="W120" s="39" t="str">
        <f>A120</f>
        <v xml:space="preserve">Summe + </v>
      </c>
      <c r="X120" s="43">
        <f>SUM(X$61:X$119)</f>
        <v>0</v>
      </c>
      <c r="Y120"/>
    </row>
    <row r="121" spans="1:25" s="51" customFormat="1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145.61999999999989</v>
      </c>
      <c r="M121" s="49" t="str">
        <f>A121</f>
        <v>Summe</v>
      </c>
      <c r="N121" s="46">
        <f>N60+N120</f>
        <v>1631.3600000000001</v>
      </c>
      <c r="O121" s="47" t="str">
        <f>A121</f>
        <v>Summe</v>
      </c>
      <c r="P121" s="48">
        <f>P60+P120</f>
        <v>822.75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  <c r="Y121"/>
    </row>
    <row r="122" spans="1:25" ht="15" thickTop="1"/>
    <row r="128" spans="1:25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866.57666666666671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866.57666666666671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866.57666666666671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866.57666666666671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866.57666666666671</v>
      </c>
      <c r="K137" s="24"/>
    </row>
    <row r="138" spans="1:11" ht="15.6">
      <c r="F138" s="1">
        <v>6</v>
      </c>
      <c r="G138" s="28">
        <f>$L$60</f>
        <v>-913.79</v>
      </c>
      <c r="H138" s="28">
        <f>$L$120</f>
        <v>1059.4099999999999</v>
      </c>
      <c r="I138" s="29">
        <f t="shared" si="0"/>
        <v>145.61999999999989</v>
      </c>
      <c r="J138" s="27">
        <f t="shared" si="1"/>
        <v>866.57666666666671</v>
      </c>
      <c r="K138" s="24"/>
    </row>
    <row r="139" spans="1:11" ht="15.6">
      <c r="F139" s="1">
        <v>7</v>
      </c>
      <c r="G139" s="28">
        <f>$N$60</f>
        <v>-786.56000000000006</v>
      </c>
      <c r="H139" s="28">
        <f>$N$120</f>
        <v>2417.92</v>
      </c>
      <c r="I139" s="30">
        <f t="shared" si="0"/>
        <v>1631.3600000000001</v>
      </c>
      <c r="J139" s="27">
        <f t="shared" si="1"/>
        <v>866.57666666666671</v>
      </c>
      <c r="K139" s="24"/>
    </row>
    <row r="140" spans="1:11" ht="15.6">
      <c r="F140" s="1">
        <v>8</v>
      </c>
      <c r="G140" s="28">
        <f>$P$60</f>
        <v>-114.23</v>
      </c>
      <c r="H140" s="28">
        <f>$P$120</f>
        <v>936.98</v>
      </c>
      <c r="I140" s="1">
        <f t="shared" si="0"/>
        <v>822.75</v>
      </c>
      <c r="J140" s="27">
        <f t="shared" si="1"/>
        <v>866.57666666666671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866.57666666666671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866.57666666666671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866.57666666666671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866.57666666666671</v>
      </c>
      <c r="K144" s="24"/>
    </row>
    <row r="145" spans="1:11" ht="15.6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</row>
    <row r="146" spans="1:11" ht="15.6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</row>
    <row r="147" spans="1:11" ht="15.6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</row>
    <row r="148" spans="1:11" ht="15.6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</row>
    <row r="149" spans="1:11" ht="15.6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</row>
    <row r="150" spans="1:11" ht="15.6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</row>
    <row r="151" spans="1:11" ht="15.6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</row>
    <row r="152" spans="1:11" ht="15.6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</row>
    <row r="153" spans="1:11" ht="15.6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</row>
    <row r="154" spans="1:11" ht="15.6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</row>
    <row r="155" spans="1:11" ht="15.6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</row>
    <row r="156" spans="1:11" ht="15.6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</row>
    <row r="157" spans="1:11" ht="15.6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</row>
  </sheetData>
  <mergeCells count="14">
    <mergeCell ref="W10:X10"/>
    <mergeCell ref="B2:C2"/>
    <mergeCell ref="B3:C3"/>
    <mergeCell ref="M10:N10"/>
    <mergeCell ref="O10:P10"/>
    <mergeCell ref="Q10:R10"/>
    <mergeCell ref="S10:T10"/>
    <mergeCell ref="U10:V10"/>
    <mergeCell ref="A10:B10"/>
    <mergeCell ref="C10:D10"/>
    <mergeCell ref="E10:F10"/>
    <mergeCell ref="G10:H10"/>
    <mergeCell ref="I10:J10"/>
    <mergeCell ref="K10:L10"/>
  </mergeCells>
  <conditionalFormatting sqref="A145:XFD1048576 Z1:XFD144">
    <cfRule type="cellIs" dxfId="326" priority="122" operator="equal">
      <formula>0</formula>
    </cfRule>
  </conditionalFormatting>
  <conditionalFormatting sqref="X120">
    <cfRule type="cellIs" dxfId="325" priority="1" operator="greaterThan">
      <formula>0</formula>
    </cfRule>
  </conditionalFormatting>
  <conditionalFormatting sqref="B12:B119 D12:D119 F12:F119 H12:H119 J12:J119">
    <cfRule type="cellIs" dxfId="324" priority="93" operator="greaterThan">
      <formula>0</formula>
    </cfRule>
    <cfRule type="cellIs" dxfId="323" priority="94" operator="lessThan">
      <formula>0</formula>
    </cfRule>
  </conditionalFormatting>
  <conditionalFormatting sqref="B12:B119 D12:D119 F12:F119 H12:H119 J12:J119">
    <cfRule type="cellIs" dxfId="322" priority="92" operator="equal">
      <formula>0</formula>
    </cfRule>
  </conditionalFormatting>
  <conditionalFormatting sqref="A10:L11 F132:J144 K134:L144 K132:K133 B2:B3 A122:L131 A12:J119 A121:J121 A120 E120 G120 I120:J120 C120">
    <cfRule type="cellIs" dxfId="321" priority="90" operator="lessThan">
      <formula>0</formula>
    </cfRule>
    <cfRule type="cellIs" dxfId="320" priority="91" operator="lessThan">
      <formula>0</formula>
    </cfRule>
  </conditionalFormatting>
  <conditionalFormatting sqref="A10:L11 F132:J144 K134:L144 K132:K133 B2:B3 A122:L131 A12:J119 A121:J121 A120 E120 G120 I120:J120 C120">
    <cfRule type="cellIs" dxfId="319" priority="89" operator="lessThan">
      <formula>0</formula>
    </cfRule>
  </conditionalFormatting>
  <conditionalFormatting sqref="B12:B119 D12:D119 F12:F119 H12:H119 J12:J121 B3 G133:J144 D121 F121 H121 B121">
    <cfRule type="cellIs" dxfId="318" priority="88" operator="greaterThan">
      <formula>0</formula>
    </cfRule>
  </conditionalFormatting>
  <conditionalFormatting sqref="R12:R119 T12:T119 V12:V119 X12:X119">
    <cfRule type="cellIs" dxfId="317" priority="83" operator="equal">
      <formula>0</formula>
    </cfRule>
    <cfRule type="cellIs" dxfId="316" priority="84" operator="greaterThan">
      <formula>0</formula>
    </cfRule>
  </conditionalFormatting>
  <conditionalFormatting sqref="M10:X11 Q12:X119 Q121:X121 Q120 S120 U120 W120">
    <cfRule type="cellIs" dxfId="315" priority="80" operator="lessThan">
      <formula>0</formula>
    </cfRule>
    <cfRule type="cellIs" dxfId="314" priority="81" operator="lessThan">
      <formula>0</formula>
    </cfRule>
  </conditionalFormatting>
  <conditionalFormatting sqref="M10:X11 Q12:X119 Q121:X121 Q120 S120 U120 W120">
    <cfRule type="cellIs" dxfId="313" priority="79" operator="lessThan">
      <formula>0</formula>
    </cfRule>
  </conditionalFormatting>
  <conditionalFormatting sqref="R12:R119 T12:T119 V12:V119 X12:X119 R121 T121 V121 X121">
    <cfRule type="cellIs" dxfId="312" priority="78" operator="greaterThan">
      <formula>0</formula>
    </cfRule>
  </conditionalFormatting>
  <conditionalFormatting sqref="K12:P60 K62:P121 K61:M61 O61:P61">
    <cfRule type="cellIs" dxfId="311" priority="77" operator="equal">
      <formula>0</formula>
    </cfRule>
  </conditionalFormatting>
  <conditionalFormatting sqref="L12:L119">
    <cfRule type="cellIs" dxfId="310" priority="75" operator="greaterThan">
      <formula>0</formula>
    </cfRule>
    <cfRule type="cellIs" dxfId="309" priority="76" operator="lessThan">
      <formula>0</formula>
    </cfRule>
  </conditionalFormatting>
  <conditionalFormatting sqref="L12:L119">
    <cfRule type="cellIs" dxfId="308" priority="74" operator="equal">
      <formula>0</formula>
    </cfRule>
  </conditionalFormatting>
  <conditionalFormatting sqref="K12:L121">
    <cfRule type="cellIs" dxfId="307" priority="72" operator="lessThan">
      <formula>0</formula>
    </cfRule>
    <cfRule type="cellIs" dxfId="306" priority="73" operator="lessThan">
      <formula>0</formula>
    </cfRule>
  </conditionalFormatting>
  <conditionalFormatting sqref="K12:L121">
    <cfRule type="cellIs" dxfId="305" priority="71" operator="lessThan">
      <formula>0</formula>
    </cfRule>
  </conditionalFormatting>
  <conditionalFormatting sqref="L12:L121">
    <cfRule type="cellIs" dxfId="304" priority="70" operator="greaterThan">
      <formula>0</formula>
    </cfRule>
  </conditionalFormatting>
  <conditionalFormatting sqref="N120">
    <cfRule type="cellIs" dxfId="303" priority="67" operator="greaterThan">
      <formula>0</formula>
    </cfRule>
    <cfRule type="cellIs" dxfId="302" priority="68" operator="greaterThan">
      <formula>1287.38</formula>
    </cfRule>
    <cfRule type="cellIs" dxfId="301" priority="69" operator="lessThan">
      <formula>0</formula>
    </cfRule>
  </conditionalFormatting>
  <conditionalFormatting sqref="P12:P119 N12:N60 N62:N119">
    <cfRule type="cellIs" dxfId="300" priority="65" operator="equal">
      <formula>0</formula>
    </cfRule>
    <cfRule type="cellIs" dxfId="299" priority="66" operator="greaterThan">
      <formula>0</formula>
    </cfRule>
  </conditionalFormatting>
  <conditionalFormatting sqref="M17:M54">
    <cfRule type="cellIs" dxfId="298" priority="64" operator="lessThan">
      <formula>0</formula>
    </cfRule>
  </conditionalFormatting>
  <conditionalFormatting sqref="M12:P60 M62:P121 M61 O61:P61">
    <cfRule type="cellIs" dxfId="297" priority="62" operator="lessThan">
      <formula>0</formula>
    </cfRule>
    <cfRule type="cellIs" dxfId="296" priority="63" operator="lessThan">
      <formula>0</formula>
    </cfRule>
  </conditionalFormatting>
  <conditionalFormatting sqref="M12:P60 M62:P121 M61 O61:P61">
    <cfRule type="cellIs" dxfId="295" priority="61" operator="lessThan">
      <formula>0</formula>
    </cfRule>
  </conditionalFormatting>
  <conditionalFormatting sqref="P12:P121 N12:N60 N62:N121">
    <cfRule type="cellIs" dxfId="294" priority="60" operator="greaterThan">
      <formula>0</formula>
    </cfRule>
  </conditionalFormatting>
  <conditionalFormatting sqref="N120">
    <cfRule type="cellIs" dxfId="293" priority="55" operator="lessThan">
      <formula>0</formula>
    </cfRule>
    <cfRule type="cellIs" dxfId="292" priority="56" operator="lessThan">
      <formula>0</formula>
    </cfRule>
  </conditionalFormatting>
  <conditionalFormatting sqref="N120">
    <cfRule type="cellIs" dxfId="291" priority="54" operator="lessThan">
      <formula>0</formula>
    </cfRule>
  </conditionalFormatting>
  <conditionalFormatting sqref="N120">
    <cfRule type="cellIs" dxfId="290" priority="53" operator="greaterThan">
      <formula>0</formula>
    </cfRule>
  </conditionalFormatting>
  <conditionalFormatting sqref="P120">
    <cfRule type="cellIs" dxfId="289" priority="50" operator="greaterThan">
      <formula>0</formula>
    </cfRule>
    <cfRule type="cellIs" dxfId="288" priority="51" operator="greaterThan">
      <formula>1287.38</formula>
    </cfRule>
    <cfRule type="cellIs" dxfId="287" priority="52" operator="lessThan">
      <formula>0</formula>
    </cfRule>
  </conditionalFormatting>
  <conditionalFormatting sqref="P120">
    <cfRule type="cellIs" dxfId="286" priority="48" operator="lessThan">
      <formula>0</formula>
    </cfRule>
    <cfRule type="cellIs" dxfId="285" priority="49" operator="lessThan">
      <formula>0</formula>
    </cfRule>
  </conditionalFormatting>
  <conditionalFormatting sqref="P120">
    <cfRule type="cellIs" dxfId="284" priority="47" operator="lessThan">
      <formula>0</formula>
    </cfRule>
  </conditionalFormatting>
  <conditionalFormatting sqref="P120">
    <cfRule type="cellIs" dxfId="283" priority="46" operator="greaterThan">
      <formula>0</formula>
    </cfRule>
  </conditionalFormatting>
  <conditionalFormatting sqref="X120">
    <cfRule type="cellIs" dxfId="282" priority="5" operator="equal">
      <formula>0</formula>
    </cfRule>
  </conditionalFormatting>
  <conditionalFormatting sqref="X120">
    <cfRule type="cellIs" dxfId="281" priority="3" operator="lessThan">
      <formula>0</formula>
    </cfRule>
    <cfRule type="cellIs" dxfId="280" priority="4" operator="lessThan">
      <formula>0</formula>
    </cfRule>
  </conditionalFormatting>
  <conditionalFormatting sqref="X120">
    <cfRule type="cellIs" dxfId="279" priority="2" operator="lessThan">
      <formula>0</formula>
    </cfRule>
  </conditionalFormatting>
  <conditionalFormatting sqref="D120">
    <cfRule type="cellIs" dxfId="278" priority="40" operator="equal">
      <formula>0</formula>
    </cfRule>
  </conditionalFormatting>
  <conditionalFormatting sqref="D120">
    <cfRule type="cellIs" dxfId="277" priority="38" operator="lessThan">
      <formula>0</formula>
    </cfRule>
    <cfRule type="cellIs" dxfId="276" priority="39" operator="lessThan">
      <formula>0</formula>
    </cfRule>
  </conditionalFormatting>
  <conditionalFormatting sqref="D120">
    <cfRule type="cellIs" dxfId="275" priority="37" operator="lessThan">
      <formula>0</formula>
    </cfRule>
  </conditionalFormatting>
  <conditionalFormatting sqref="D120">
    <cfRule type="cellIs" dxfId="274" priority="36" operator="greaterThan">
      <formula>0</formula>
    </cfRule>
  </conditionalFormatting>
  <conditionalFormatting sqref="F120">
    <cfRule type="cellIs" dxfId="273" priority="35" operator="equal">
      <formula>0</formula>
    </cfRule>
  </conditionalFormatting>
  <conditionalFormatting sqref="F120">
    <cfRule type="cellIs" dxfId="272" priority="33" operator="lessThan">
      <formula>0</formula>
    </cfRule>
    <cfRule type="cellIs" dxfId="271" priority="34" operator="lessThan">
      <formula>0</formula>
    </cfRule>
  </conditionalFormatting>
  <conditionalFormatting sqref="F120">
    <cfRule type="cellIs" dxfId="270" priority="32" operator="lessThan">
      <formula>0</formula>
    </cfRule>
  </conditionalFormatting>
  <conditionalFormatting sqref="F120">
    <cfRule type="cellIs" dxfId="269" priority="31" operator="greaterThan">
      <formula>0</formula>
    </cfRule>
  </conditionalFormatting>
  <conditionalFormatting sqref="H120">
    <cfRule type="cellIs" dxfId="268" priority="30" operator="equal">
      <formula>0</formula>
    </cfRule>
  </conditionalFormatting>
  <conditionalFormatting sqref="H120">
    <cfRule type="cellIs" dxfId="267" priority="28" operator="lessThan">
      <formula>0</formula>
    </cfRule>
    <cfRule type="cellIs" dxfId="266" priority="29" operator="lessThan">
      <formula>0</formula>
    </cfRule>
  </conditionalFormatting>
  <conditionalFormatting sqref="H120">
    <cfRule type="cellIs" dxfId="265" priority="27" operator="lessThan">
      <formula>0</formula>
    </cfRule>
  </conditionalFormatting>
  <conditionalFormatting sqref="H120">
    <cfRule type="cellIs" dxfId="264" priority="26" operator="greaterThan">
      <formula>0</formula>
    </cfRule>
  </conditionalFormatting>
  <conditionalFormatting sqref="B120">
    <cfRule type="cellIs" dxfId="263" priority="25" operator="equal">
      <formula>0</formula>
    </cfRule>
  </conditionalFormatting>
  <conditionalFormatting sqref="B120">
    <cfRule type="cellIs" dxfId="262" priority="23" operator="lessThan">
      <formula>0</formula>
    </cfRule>
    <cfRule type="cellIs" dxfId="261" priority="24" operator="lessThan">
      <formula>0</formula>
    </cfRule>
  </conditionalFormatting>
  <conditionalFormatting sqref="B120">
    <cfRule type="cellIs" dxfId="260" priority="22" operator="lessThan">
      <formula>0</formula>
    </cfRule>
  </conditionalFormatting>
  <conditionalFormatting sqref="B120">
    <cfRule type="cellIs" dxfId="259" priority="21" operator="greaterThan">
      <formula>0</formula>
    </cfRule>
  </conditionalFormatting>
  <conditionalFormatting sqref="R120">
    <cfRule type="cellIs" dxfId="258" priority="20" operator="equal">
      <formula>0</formula>
    </cfRule>
  </conditionalFormatting>
  <conditionalFormatting sqref="R120">
    <cfRule type="cellIs" dxfId="257" priority="18" operator="lessThan">
      <formula>0</formula>
    </cfRule>
    <cfRule type="cellIs" dxfId="256" priority="19" operator="lessThan">
      <formula>0</formula>
    </cfRule>
  </conditionalFormatting>
  <conditionalFormatting sqref="R120">
    <cfRule type="cellIs" dxfId="255" priority="17" operator="lessThan">
      <formula>0</formula>
    </cfRule>
  </conditionalFormatting>
  <conditionalFormatting sqref="R120">
    <cfRule type="cellIs" dxfId="254" priority="16" operator="greaterThan">
      <formula>0</formula>
    </cfRule>
  </conditionalFormatting>
  <conditionalFormatting sqref="T120">
    <cfRule type="cellIs" dxfId="253" priority="15" operator="equal">
      <formula>0</formula>
    </cfRule>
  </conditionalFormatting>
  <conditionalFormatting sqref="T120">
    <cfRule type="cellIs" dxfId="252" priority="13" operator="lessThan">
      <formula>0</formula>
    </cfRule>
    <cfRule type="cellIs" dxfId="251" priority="14" operator="lessThan">
      <formula>0</formula>
    </cfRule>
  </conditionalFormatting>
  <conditionalFormatting sqref="T120">
    <cfRule type="cellIs" dxfId="250" priority="12" operator="lessThan">
      <formula>0</formula>
    </cfRule>
  </conditionalFormatting>
  <conditionalFormatting sqref="T120">
    <cfRule type="cellIs" dxfId="249" priority="11" operator="greaterThan">
      <formula>0</formula>
    </cfRule>
  </conditionalFormatting>
  <conditionalFormatting sqref="V120">
    <cfRule type="cellIs" dxfId="248" priority="10" operator="equal">
      <formula>0</formula>
    </cfRule>
  </conditionalFormatting>
  <conditionalFormatting sqref="V120">
    <cfRule type="cellIs" dxfId="247" priority="8" operator="lessThan">
      <formula>0</formula>
    </cfRule>
    <cfRule type="cellIs" dxfId="246" priority="9" operator="lessThan">
      <formula>0</formula>
    </cfRule>
  </conditionalFormatting>
  <conditionalFormatting sqref="V120">
    <cfRule type="cellIs" dxfId="245" priority="7" operator="lessThan">
      <formula>0</formula>
    </cfRule>
  </conditionalFormatting>
  <conditionalFormatting sqref="V120">
    <cfRule type="cellIs" dxfId="244" priority="6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5</xdr:col>
                <xdr:colOff>0</xdr:colOff>
                <xdr:row>1</xdr:row>
                <xdr:rowOff>15240</xdr:rowOff>
              </from>
              <to>
                <xdr:col>7</xdr:col>
                <xdr:colOff>1066800</xdr:colOff>
                <xdr:row>3</xdr:row>
                <xdr:rowOff>15240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Calc_Sum">
            <anchor moveWithCells="1" sizeWithCells="1">
              <from>
                <xdr:col>4</xdr:col>
                <xdr:colOff>632460</xdr:colOff>
                <xdr:row>1</xdr:row>
                <xdr:rowOff>30480</xdr:rowOff>
              </from>
              <to>
                <xdr:col>8</xdr:col>
                <xdr:colOff>213360</xdr:colOff>
                <xdr:row>3</xdr:row>
                <xdr:rowOff>45720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6F0-BAA9-4E35-ABD1-C69285BBD7DD}">
  <sheetPr codeName="Tabelle3"/>
  <dimension ref="A1:AJ133"/>
  <sheetViews>
    <sheetView tabSelected="1" zoomScale="44" zoomScaleNormal="52" workbookViewId="0">
      <selection activeCell="R18" sqref="R18"/>
    </sheetView>
  </sheetViews>
  <sheetFormatPr baseColWidth="10" defaultRowHeight="14.4"/>
  <cols>
    <col min="1" max="1" width="11" bestFit="1" customWidth="1"/>
    <col min="2" max="2" width="11" customWidth="1"/>
    <col min="3" max="3" width="17.77734375" bestFit="1" customWidth="1"/>
    <col min="4" max="5" width="11" customWidth="1"/>
    <col min="6" max="6" width="17.77734375" bestFit="1" customWidth="1"/>
    <col min="7" max="7" width="10" bestFit="1" customWidth="1"/>
    <col min="8" max="8" width="10" customWidth="1"/>
    <col min="9" max="9" width="17.77734375" bestFit="1" customWidth="1"/>
    <col min="10" max="10" width="12.88671875" bestFit="1" customWidth="1"/>
    <col min="11" max="11" width="12.88671875" customWidth="1"/>
    <col min="12" max="12" width="16.109375" bestFit="1" customWidth="1"/>
    <col min="13" max="13" width="16.5546875" bestFit="1" customWidth="1"/>
    <col min="14" max="14" width="11" customWidth="1"/>
    <col min="15" max="15" width="17.77734375" bestFit="1" customWidth="1"/>
    <col min="16" max="16" width="11" bestFit="1" customWidth="1"/>
    <col min="17" max="17" width="11" customWidth="1"/>
    <col min="18" max="18" width="17.77734375" bestFit="1" customWidth="1"/>
    <col min="19" max="19" width="11" bestFit="1" customWidth="1"/>
    <col min="20" max="20" width="11" customWidth="1"/>
    <col min="21" max="21" width="17.77734375" bestFit="1" customWidth="1"/>
    <col min="22" max="22" width="14.44140625" bestFit="1" customWidth="1"/>
    <col min="23" max="23" width="14.44140625" customWidth="1"/>
    <col min="24" max="24" width="17.77734375" bestFit="1" customWidth="1"/>
    <col min="25" max="25" width="11" bestFit="1" customWidth="1"/>
    <col min="26" max="26" width="11" customWidth="1"/>
    <col min="27" max="27" width="17.77734375" bestFit="1" customWidth="1"/>
    <col min="28" max="28" width="11" bestFit="1" customWidth="1"/>
    <col min="29" max="29" width="11" customWidth="1"/>
    <col min="30" max="30" width="17.77734375" bestFit="1" customWidth="1"/>
    <col min="31" max="31" width="11" bestFit="1" customWidth="1"/>
    <col min="32" max="32" width="11" customWidth="1"/>
    <col min="33" max="33" width="17.77734375" bestFit="1" customWidth="1"/>
    <col min="34" max="34" width="11" bestFit="1" customWidth="1"/>
    <col min="35" max="35" width="11" customWidth="1"/>
    <col min="36" max="36" width="17.77734375" bestFit="1" customWidth="1"/>
  </cols>
  <sheetData>
    <row r="1" spans="1:36" s="59" customFormat="1" ht="15" thickBot="1"/>
    <row r="2" spans="1:36" s="59" customFormat="1" ht="37.200000000000003" thickTop="1">
      <c r="C2" s="111" t="s">
        <v>15</v>
      </c>
      <c r="D2" s="112"/>
      <c r="E2" s="79"/>
    </row>
    <row r="3" spans="1:36" s="59" customFormat="1" ht="37.200000000000003" thickBot="1">
      <c r="C3" s="113">
        <v>-1014</v>
      </c>
      <c r="D3" s="114"/>
      <c r="E3" s="79"/>
    </row>
    <row r="4" spans="1:36" s="59" customFormat="1" ht="15" thickTop="1"/>
    <row r="5" spans="1:36" s="59" customFormat="1"/>
    <row r="6" spans="1:36" s="60" customFormat="1" ht="15" thickBot="1">
      <c r="O6" s="60" t="s">
        <v>23</v>
      </c>
    </row>
    <row r="7" spans="1:36" ht="15" thickTop="1"/>
    <row r="9" spans="1:36" ht="15" thickBot="1"/>
    <row r="10" spans="1:36" ht="27" thickTop="1" thickBot="1">
      <c r="A10" s="109">
        <v>1</v>
      </c>
      <c r="B10" s="115"/>
      <c r="C10" s="110"/>
      <c r="D10" s="107">
        <v>2</v>
      </c>
      <c r="E10" s="101"/>
      <c r="F10" s="108"/>
      <c r="G10" s="101">
        <v>3</v>
      </c>
      <c r="H10" s="101"/>
      <c r="I10" s="101"/>
      <c r="J10" s="107">
        <v>4</v>
      </c>
      <c r="K10" s="101"/>
      <c r="L10" s="108"/>
      <c r="M10" s="101">
        <v>5</v>
      </c>
      <c r="N10" s="101"/>
      <c r="O10" s="101"/>
      <c r="P10" s="107">
        <v>6</v>
      </c>
      <c r="Q10" s="101"/>
      <c r="R10" s="108"/>
      <c r="S10" s="101">
        <v>7</v>
      </c>
      <c r="T10" s="101"/>
      <c r="U10" s="101"/>
      <c r="V10" s="107">
        <v>8</v>
      </c>
      <c r="W10" s="101"/>
      <c r="X10" s="108"/>
      <c r="Y10" s="101">
        <v>9</v>
      </c>
      <c r="Z10" s="101"/>
      <c r="AA10" s="101"/>
      <c r="AB10" s="107">
        <v>10</v>
      </c>
      <c r="AC10" s="101"/>
      <c r="AD10" s="108"/>
      <c r="AE10" s="101">
        <v>11</v>
      </c>
      <c r="AF10" s="101"/>
      <c r="AG10" s="101"/>
      <c r="AH10" s="101">
        <v>12</v>
      </c>
      <c r="AI10" s="101"/>
      <c r="AJ10" s="102"/>
    </row>
    <row r="11" spans="1:36" ht="16.8" thickTop="1" thickBot="1">
      <c r="A11" s="2" t="s">
        <v>36</v>
      </c>
      <c r="B11" s="82" t="s">
        <v>1</v>
      </c>
      <c r="C11" s="3" t="s">
        <v>0</v>
      </c>
      <c r="D11" s="2" t="s">
        <v>36</v>
      </c>
      <c r="E11" s="82" t="s">
        <v>1</v>
      </c>
      <c r="F11" s="5" t="s">
        <v>0</v>
      </c>
      <c r="G11" s="2" t="s">
        <v>36</v>
      </c>
      <c r="H11" s="82" t="s">
        <v>1</v>
      </c>
      <c r="I11" s="3" t="s">
        <v>0</v>
      </c>
      <c r="J11" s="2" t="s">
        <v>36</v>
      </c>
      <c r="K11" s="82" t="s">
        <v>1</v>
      </c>
      <c r="L11" s="5" t="s">
        <v>0</v>
      </c>
      <c r="M11" s="2" t="s">
        <v>36</v>
      </c>
      <c r="N11" s="82" t="s">
        <v>1</v>
      </c>
      <c r="O11" s="3" t="s">
        <v>0</v>
      </c>
      <c r="P11" s="2" t="s">
        <v>36</v>
      </c>
      <c r="Q11" s="82" t="s">
        <v>1</v>
      </c>
      <c r="R11" s="5" t="s">
        <v>0</v>
      </c>
      <c r="S11" s="2" t="s">
        <v>36</v>
      </c>
      <c r="T11" s="82" t="s">
        <v>1</v>
      </c>
      <c r="U11" s="3" t="s">
        <v>0</v>
      </c>
      <c r="V11" s="2" t="s">
        <v>36</v>
      </c>
      <c r="W11" s="82" t="s">
        <v>1</v>
      </c>
      <c r="X11" s="5" t="s">
        <v>0</v>
      </c>
      <c r="Y11" s="2" t="s">
        <v>36</v>
      </c>
      <c r="Z11" s="82" t="s">
        <v>1</v>
      </c>
      <c r="AA11" s="3" t="s">
        <v>0</v>
      </c>
      <c r="AB11" s="2" t="s">
        <v>36</v>
      </c>
      <c r="AC11" s="82" t="s">
        <v>1</v>
      </c>
      <c r="AD11" s="5" t="s">
        <v>0</v>
      </c>
      <c r="AE11" s="2" t="s">
        <v>36</v>
      </c>
      <c r="AF11" s="82" t="s">
        <v>1</v>
      </c>
      <c r="AG11" s="3" t="s">
        <v>0</v>
      </c>
      <c r="AH11" s="2" t="s">
        <v>36</v>
      </c>
      <c r="AI11" s="82" t="s">
        <v>1</v>
      </c>
      <c r="AJ11" s="7" t="s">
        <v>0</v>
      </c>
    </row>
    <row r="12" spans="1:36" ht="15.6">
      <c r="A12" s="80"/>
      <c r="B12" s="81"/>
      <c r="C12" s="22"/>
      <c r="D12" s="80"/>
      <c r="E12" s="81"/>
      <c r="F12" s="22"/>
      <c r="G12" s="80"/>
      <c r="H12" s="81"/>
      <c r="I12" s="22"/>
      <c r="J12" s="10"/>
      <c r="K12" s="81"/>
      <c r="L12" s="22"/>
      <c r="M12" s="12"/>
      <c r="N12" s="81"/>
      <c r="O12" s="21"/>
      <c r="P12" s="10"/>
      <c r="Q12" s="81"/>
      <c r="R12" s="22"/>
      <c r="S12" s="12"/>
      <c r="T12" s="81"/>
      <c r="U12" s="21"/>
      <c r="V12" s="80"/>
      <c r="W12" s="81"/>
      <c r="X12" s="22"/>
      <c r="Y12" s="12"/>
      <c r="Z12" s="81"/>
      <c r="AA12" s="21"/>
      <c r="AB12" s="10"/>
      <c r="AC12" s="81"/>
      <c r="AD12" s="22"/>
      <c r="AE12" s="12"/>
      <c r="AF12" s="81"/>
      <c r="AG12" s="21"/>
      <c r="AH12" s="10"/>
      <c r="AI12" s="81"/>
      <c r="AJ12" s="23"/>
    </row>
    <row r="13" spans="1:36" ht="15.6">
      <c r="A13" s="80"/>
      <c r="B13" s="81"/>
      <c r="C13" s="22"/>
      <c r="D13" s="80"/>
      <c r="E13" s="81"/>
      <c r="F13" s="22"/>
      <c r="G13" s="80"/>
      <c r="H13" s="81"/>
      <c r="I13" s="22"/>
      <c r="J13" s="10"/>
      <c r="K13" s="81"/>
      <c r="L13" s="22"/>
      <c r="M13" s="12"/>
      <c r="N13" s="81"/>
      <c r="O13" s="21"/>
      <c r="P13" s="10"/>
      <c r="Q13" s="81"/>
      <c r="R13" s="22"/>
      <c r="S13" s="12"/>
      <c r="T13" s="81"/>
      <c r="U13" s="21"/>
      <c r="V13" s="80"/>
      <c r="W13" s="81"/>
      <c r="X13" s="22"/>
      <c r="Y13" s="12"/>
      <c r="Z13" s="81"/>
      <c r="AA13" s="21"/>
      <c r="AB13" s="10"/>
      <c r="AC13" s="81"/>
      <c r="AD13" s="22"/>
      <c r="AE13" s="12"/>
      <c r="AF13" s="81"/>
      <c r="AG13" s="21"/>
      <c r="AH13" s="10"/>
      <c r="AI13" s="81"/>
      <c r="AJ13" s="23"/>
    </row>
    <row r="14" spans="1:36" ht="15.6">
      <c r="A14" s="80"/>
      <c r="B14" s="81"/>
      <c r="C14" s="22"/>
      <c r="D14" s="80"/>
      <c r="E14" s="81"/>
      <c r="F14" s="22"/>
      <c r="G14" s="80"/>
      <c r="H14" s="81"/>
      <c r="I14" s="22"/>
      <c r="J14" s="10"/>
      <c r="K14" s="81"/>
      <c r="L14" s="22"/>
      <c r="M14" s="12"/>
      <c r="N14" s="81"/>
      <c r="O14" s="21"/>
      <c r="P14" s="10"/>
      <c r="Q14" s="81"/>
      <c r="R14" s="22"/>
      <c r="S14" s="12"/>
      <c r="T14" s="81"/>
      <c r="U14" s="21"/>
      <c r="V14" s="80"/>
      <c r="W14" s="81"/>
      <c r="X14" s="22"/>
      <c r="Y14" s="12"/>
      <c r="Z14" s="81"/>
      <c r="AA14" s="21"/>
      <c r="AB14" s="10"/>
      <c r="AC14" s="81"/>
      <c r="AD14" s="22"/>
      <c r="AE14" s="12"/>
      <c r="AF14" s="81"/>
      <c r="AG14" s="21"/>
      <c r="AH14" s="10"/>
      <c r="AI14" s="81"/>
      <c r="AJ14" s="23"/>
    </row>
    <row r="15" spans="1:36" ht="15.6">
      <c r="A15" s="8"/>
      <c r="B15" s="81"/>
      <c r="C15" s="21"/>
      <c r="D15" s="10"/>
      <c r="E15" s="81"/>
      <c r="F15" s="22"/>
      <c r="G15" s="12"/>
      <c r="H15" s="81"/>
      <c r="I15" s="21"/>
      <c r="J15" s="10"/>
      <c r="K15" s="81"/>
      <c r="L15" s="22"/>
      <c r="M15" s="12"/>
      <c r="N15" s="81"/>
      <c r="O15" s="21"/>
      <c r="P15" s="10"/>
      <c r="Q15" s="81"/>
      <c r="R15" s="22"/>
      <c r="S15" s="12"/>
      <c r="T15" s="81"/>
      <c r="U15" s="21"/>
      <c r="V15" s="80"/>
      <c r="W15" s="81"/>
      <c r="X15" s="22"/>
      <c r="Y15" s="12"/>
      <c r="Z15" s="81"/>
      <c r="AA15" s="21"/>
      <c r="AB15" s="10"/>
      <c r="AC15" s="81"/>
      <c r="AD15" s="22"/>
      <c r="AE15" s="12"/>
      <c r="AF15" s="81"/>
      <c r="AG15" s="21"/>
      <c r="AH15" s="10"/>
      <c r="AI15" s="81"/>
      <c r="AJ15" s="23"/>
    </row>
    <row r="16" spans="1:36" ht="15.6">
      <c r="A16" s="8"/>
      <c r="B16" s="81"/>
      <c r="C16" s="21"/>
      <c r="D16" s="10"/>
      <c r="E16" s="81"/>
      <c r="F16" s="22"/>
      <c r="G16" s="12"/>
      <c r="H16" s="81"/>
      <c r="I16" s="21"/>
      <c r="J16" s="10"/>
      <c r="K16" s="81"/>
      <c r="L16" s="22"/>
      <c r="M16" s="12"/>
      <c r="N16" s="81"/>
      <c r="O16" s="21"/>
      <c r="P16" s="10"/>
      <c r="Q16" s="81"/>
      <c r="R16" s="22"/>
      <c r="S16" s="12"/>
      <c r="T16" s="81"/>
      <c r="U16" s="21"/>
      <c r="V16" s="10"/>
      <c r="W16" s="81"/>
      <c r="X16" s="22"/>
      <c r="Y16" s="12"/>
      <c r="Z16" s="81"/>
      <c r="AA16" s="21"/>
      <c r="AB16" s="10"/>
      <c r="AC16" s="81"/>
      <c r="AD16" s="22"/>
      <c r="AE16" s="12"/>
      <c r="AF16" s="81"/>
      <c r="AG16" s="21"/>
      <c r="AH16" s="10"/>
      <c r="AI16" s="81"/>
      <c r="AJ16" s="23"/>
    </row>
    <row r="17" spans="1:36" ht="15.6">
      <c r="A17" s="8"/>
      <c r="B17" s="81"/>
      <c r="C17" s="21"/>
      <c r="D17" s="10"/>
      <c r="E17" s="81"/>
      <c r="F17" s="22"/>
      <c r="G17" s="12"/>
      <c r="H17" s="81"/>
      <c r="I17" s="21"/>
      <c r="J17" s="10"/>
      <c r="K17" s="81"/>
      <c r="L17" s="22"/>
      <c r="M17" s="12"/>
      <c r="N17" s="81"/>
      <c r="O17" s="21"/>
      <c r="P17" s="10"/>
      <c r="Q17" s="81"/>
      <c r="R17" s="22"/>
      <c r="S17" s="12"/>
      <c r="T17" s="81"/>
      <c r="U17" s="21"/>
      <c r="V17" s="10"/>
      <c r="W17" s="81"/>
      <c r="X17" s="22"/>
      <c r="Y17" s="12"/>
      <c r="Z17" s="81"/>
      <c r="AA17" s="21"/>
      <c r="AB17" s="10"/>
      <c r="AC17" s="81"/>
      <c r="AD17" s="22"/>
      <c r="AE17" s="12"/>
      <c r="AF17" s="81"/>
      <c r="AG17" s="21"/>
      <c r="AH17" s="10"/>
      <c r="AI17" s="81"/>
      <c r="AJ17" s="23"/>
    </row>
    <row r="18" spans="1:36" ht="15.6">
      <c r="A18" s="8"/>
      <c r="B18" s="81"/>
      <c r="C18" s="21"/>
      <c r="D18" s="10"/>
      <c r="E18" s="81"/>
      <c r="F18" s="22"/>
      <c r="G18" s="12"/>
      <c r="H18" s="81"/>
      <c r="I18" s="21"/>
      <c r="J18" s="10"/>
      <c r="K18" s="81"/>
      <c r="L18" s="22"/>
      <c r="M18" s="12"/>
      <c r="N18" s="81"/>
      <c r="O18" s="21"/>
      <c r="P18" s="10"/>
      <c r="Q18" s="81"/>
      <c r="R18" s="22"/>
      <c r="S18" s="12"/>
      <c r="T18" s="81"/>
      <c r="U18" s="21"/>
      <c r="V18" s="10"/>
      <c r="W18" s="81"/>
      <c r="X18" s="22"/>
      <c r="Y18" s="12"/>
      <c r="Z18" s="81"/>
      <c r="AA18" s="21"/>
      <c r="AB18" s="10"/>
      <c r="AC18" s="81"/>
      <c r="AD18" s="22"/>
      <c r="AE18" s="12"/>
      <c r="AF18" s="81"/>
      <c r="AG18" s="21"/>
      <c r="AH18" s="10"/>
      <c r="AI18" s="81"/>
      <c r="AJ18" s="23"/>
    </row>
    <row r="19" spans="1:36" ht="15.6">
      <c r="A19" s="8"/>
      <c r="B19" s="81"/>
      <c r="C19" s="21"/>
      <c r="D19" s="10"/>
      <c r="E19" s="81"/>
      <c r="F19" s="22"/>
      <c r="G19" s="12"/>
      <c r="H19" s="81"/>
      <c r="I19" s="21"/>
      <c r="J19" s="10"/>
      <c r="K19" s="81"/>
      <c r="L19" s="22"/>
      <c r="M19" s="12"/>
      <c r="N19" s="81"/>
      <c r="O19" s="21"/>
      <c r="P19" s="10"/>
      <c r="Q19" s="81"/>
      <c r="R19" s="22"/>
      <c r="S19" s="12"/>
      <c r="T19" s="81"/>
      <c r="U19" s="21"/>
      <c r="V19" s="10"/>
      <c r="W19" s="81"/>
      <c r="X19" s="22"/>
      <c r="Y19" s="12"/>
      <c r="Z19" s="81"/>
      <c r="AA19" s="21"/>
      <c r="AB19" s="10"/>
      <c r="AC19" s="81"/>
      <c r="AD19" s="22"/>
      <c r="AE19" s="12"/>
      <c r="AF19" s="81"/>
      <c r="AG19" s="21"/>
      <c r="AH19" s="10"/>
      <c r="AI19" s="81"/>
      <c r="AJ19" s="23"/>
    </row>
    <row r="20" spans="1:36" ht="15.6">
      <c r="A20" s="8"/>
      <c r="B20" s="81"/>
      <c r="C20" s="21"/>
      <c r="D20" s="10"/>
      <c r="E20" s="81"/>
      <c r="F20" s="22"/>
      <c r="G20" s="12"/>
      <c r="H20" s="81"/>
      <c r="I20" s="21"/>
      <c r="J20" s="10"/>
      <c r="K20" s="81"/>
      <c r="L20" s="22"/>
      <c r="M20" s="12"/>
      <c r="N20" s="81"/>
      <c r="O20" s="21"/>
      <c r="P20" s="10"/>
      <c r="Q20" s="81"/>
      <c r="R20" s="22"/>
      <c r="S20" s="12"/>
      <c r="T20" s="81"/>
      <c r="U20" s="21"/>
      <c r="V20" s="10"/>
      <c r="W20" s="81"/>
      <c r="X20" s="22"/>
      <c r="Y20" s="12"/>
      <c r="Z20" s="81"/>
      <c r="AA20" s="21"/>
      <c r="AB20" s="10"/>
      <c r="AC20" s="81"/>
      <c r="AD20" s="22"/>
      <c r="AE20" s="12"/>
      <c r="AF20" s="81"/>
      <c r="AG20" s="21"/>
      <c r="AH20" s="10"/>
      <c r="AI20" s="81"/>
      <c r="AJ20" s="23"/>
    </row>
    <row r="21" spans="1:36" ht="15.6">
      <c r="A21" s="8"/>
      <c r="B21" s="81"/>
      <c r="C21" s="21"/>
      <c r="D21" s="10"/>
      <c r="E21" s="81"/>
      <c r="F21" s="22"/>
      <c r="G21" s="12"/>
      <c r="H21" s="81"/>
      <c r="I21" s="21"/>
      <c r="J21" s="10"/>
      <c r="K21" s="81"/>
      <c r="L21" s="22"/>
      <c r="M21" s="12"/>
      <c r="N21" s="81"/>
      <c r="O21" s="21"/>
      <c r="P21" s="10"/>
      <c r="Q21" s="81"/>
      <c r="R21" s="22"/>
      <c r="S21" s="12"/>
      <c r="T21" s="81"/>
      <c r="U21" s="21"/>
      <c r="V21" s="10"/>
      <c r="W21" s="81"/>
      <c r="X21" s="22"/>
      <c r="Y21" s="12"/>
      <c r="Z21" s="81"/>
      <c r="AA21" s="21"/>
      <c r="AB21" s="10"/>
      <c r="AC21" s="81"/>
      <c r="AD21" s="22"/>
      <c r="AE21" s="12"/>
      <c r="AF21" s="81"/>
      <c r="AG21" s="21"/>
      <c r="AH21" s="10"/>
      <c r="AI21" s="81"/>
      <c r="AJ21" s="23"/>
    </row>
    <row r="22" spans="1:36" ht="15.6">
      <c r="A22" s="8"/>
      <c r="B22" s="81"/>
      <c r="C22" s="21"/>
      <c r="D22" s="10"/>
      <c r="E22" s="81"/>
      <c r="F22" s="22"/>
      <c r="G22" s="12"/>
      <c r="H22" s="81"/>
      <c r="I22" s="21"/>
      <c r="J22" s="10"/>
      <c r="K22" s="81"/>
      <c r="L22" s="22"/>
      <c r="M22" s="12"/>
      <c r="N22" s="81"/>
      <c r="O22" s="21"/>
      <c r="P22" s="10"/>
      <c r="Q22" s="81"/>
      <c r="R22" s="22"/>
      <c r="S22" s="12"/>
      <c r="T22" s="81"/>
      <c r="U22" s="21"/>
      <c r="V22" s="10"/>
      <c r="W22" s="81"/>
      <c r="X22" s="22"/>
      <c r="Y22" s="12"/>
      <c r="Z22" s="81"/>
      <c r="AA22" s="21"/>
      <c r="AB22" s="10"/>
      <c r="AC22" s="81"/>
      <c r="AD22" s="22"/>
      <c r="AE22" s="12"/>
      <c r="AF22" s="81"/>
      <c r="AG22" s="21"/>
      <c r="AH22" s="10"/>
      <c r="AI22" s="81"/>
      <c r="AJ22" s="23"/>
    </row>
    <row r="23" spans="1:36" ht="15.6">
      <c r="A23" s="8"/>
      <c r="B23" s="81"/>
      <c r="C23" s="21"/>
      <c r="D23" s="10"/>
      <c r="E23" s="81"/>
      <c r="F23" s="22"/>
      <c r="G23" s="12"/>
      <c r="H23" s="81"/>
      <c r="I23" s="21"/>
      <c r="J23" s="10"/>
      <c r="K23" s="81"/>
      <c r="L23" s="22"/>
      <c r="M23" s="12"/>
      <c r="N23" s="81"/>
      <c r="O23" s="21"/>
      <c r="P23" s="10"/>
      <c r="Q23" s="81"/>
      <c r="R23" s="22"/>
      <c r="S23" s="12"/>
      <c r="T23" s="81"/>
      <c r="U23" s="21"/>
      <c r="V23" s="10"/>
      <c r="W23" s="81"/>
      <c r="X23" s="22"/>
      <c r="Y23" s="12"/>
      <c r="Z23" s="81"/>
      <c r="AA23" s="21"/>
      <c r="AB23" s="10"/>
      <c r="AC23" s="81"/>
      <c r="AD23" s="22"/>
      <c r="AE23" s="12"/>
      <c r="AF23" s="81"/>
      <c r="AG23" s="21"/>
      <c r="AH23" s="10"/>
      <c r="AI23" s="81"/>
      <c r="AJ23" s="23"/>
    </row>
    <row r="24" spans="1:36" ht="15.6">
      <c r="A24" s="8"/>
      <c r="B24" s="81"/>
      <c r="C24" s="21"/>
      <c r="D24" s="10"/>
      <c r="E24" s="81"/>
      <c r="F24" s="22"/>
      <c r="G24" s="12"/>
      <c r="H24" s="81"/>
      <c r="I24" s="21"/>
      <c r="J24" s="10"/>
      <c r="K24" s="81"/>
      <c r="L24" s="22"/>
      <c r="M24" s="12"/>
      <c r="N24" s="81"/>
      <c r="O24" s="21"/>
      <c r="P24" s="10"/>
      <c r="Q24" s="81"/>
      <c r="R24" s="22"/>
      <c r="S24" s="12"/>
      <c r="T24" s="81"/>
      <c r="U24" s="21"/>
      <c r="V24" s="10"/>
      <c r="W24" s="81"/>
      <c r="X24" s="22"/>
      <c r="Y24" s="12"/>
      <c r="Z24" s="81"/>
      <c r="AA24" s="21"/>
      <c r="AB24" s="10"/>
      <c r="AC24" s="81"/>
      <c r="AD24" s="22"/>
      <c r="AE24" s="12"/>
      <c r="AF24" s="81"/>
      <c r="AG24" s="21"/>
      <c r="AH24" s="10"/>
      <c r="AI24" s="81"/>
      <c r="AJ24" s="23"/>
    </row>
    <row r="25" spans="1:36" ht="15.6">
      <c r="A25" s="8"/>
      <c r="B25" s="81"/>
      <c r="C25" s="21"/>
      <c r="D25" s="10"/>
      <c r="E25" s="81"/>
      <c r="F25" s="22"/>
      <c r="G25" s="12"/>
      <c r="H25" s="81"/>
      <c r="I25" s="21"/>
      <c r="J25" s="10"/>
      <c r="K25" s="81"/>
      <c r="L25" s="22"/>
      <c r="M25" s="12"/>
      <c r="N25" s="81"/>
      <c r="O25" s="21"/>
      <c r="P25" s="10"/>
      <c r="Q25" s="81"/>
      <c r="R25" s="22"/>
      <c r="S25" s="12"/>
      <c r="T25" s="81"/>
      <c r="U25" s="21"/>
      <c r="V25" s="10"/>
      <c r="W25" s="81"/>
      <c r="X25" s="22"/>
      <c r="Y25" s="12"/>
      <c r="Z25" s="81"/>
      <c r="AA25" s="21"/>
      <c r="AB25" s="10"/>
      <c r="AC25" s="81"/>
      <c r="AD25" s="22"/>
      <c r="AE25" s="12"/>
      <c r="AF25" s="81"/>
      <c r="AG25" s="21"/>
      <c r="AH25" s="10"/>
      <c r="AI25" s="81"/>
      <c r="AJ25" s="23"/>
    </row>
    <row r="26" spans="1:36" ht="15.6">
      <c r="A26" s="8"/>
      <c r="B26" s="81"/>
      <c r="C26" s="21"/>
      <c r="D26" s="10"/>
      <c r="E26" s="81"/>
      <c r="F26" s="22"/>
      <c r="G26" s="12"/>
      <c r="H26" s="81"/>
      <c r="I26" s="21"/>
      <c r="J26" s="10"/>
      <c r="K26" s="81"/>
      <c r="L26" s="22"/>
      <c r="M26" s="12"/>
      <c r="N26" s="81"/>
      <c r="O26" s="21"/>
      <c r="P26" s="10"/>
      <c r="Q26" s="81"/>
      <c r="R26" s="22"/>
      <c r="S26" s="12"/>
      <c r="T26" s="81"/>
      <c r="U26" s="21"/>
      <c r="V26" s="10"/>
      <c r="W26" s="81"/>
      <c r="X26" s="22"/>
      <c r="Y26" s="12"/>
      <c r="Z26" s="81"/>
      <c r="AA26" s="21"/>
      <c r="AB26" s="10"/>
      <c r="AC26" s="81"/>
      <c r="AD26" s="22"/>
      <c r="AE26" s="12"/>
      <c r="AF26" s="81"/>
      <c r="AG26" s="21"/>
      <c r="AH26" s="10"/>
      <c r="AI26" s="81"/>
      <c r="AJ26" s="23"/>
    </row>
    <row r="27" spans="1:36" ht="15.6">
      <c r="A27" s="8"/>
      <c r="B27" s="81"/>
      <c r="C27" s="21"/>
      <c r="D27" s="10"/>
      <c r="E27" s="81"/>
      <c r="F27" s="22"/>
      <c r="G27" s="12"/>
      <c r="H27" s="81"/>
      <c r="I27" s="21"/>
      <c r="J27" s="10"/>
      <c r="K27" s="81"/>
      <c r="L27" s="22"/>
      <c r="M27" s="12"/>
      <c r="N27" s="81"/>
      <c r="O27" s="21"/>
      <c r="P27" s="10"/>
      <c r="Q27" s="81"/>
      <c r="R27" s="22"/>
      <c r="S27" s="12"/>
      <c r="T27" s="81"/>
      <c r="U27" s="21"/>
      <c r="V27" s="10"/>
      <c r="W27" s="81"/>
      <c r="X27" s="22"/>
      <c r="Y27" s="12"/>
      <c r="Z27" s="81"/>
      <c r="AA27" s="21"/>
      <c r="AB27" s="10"/>
      <c r="AC27" s="81"/>
      <c r="AD27" s="22"/>
      <c r="AE27" s="12"/>
      <c r="AF27" s="81"/>
      <c r="AG27" s="21"/>
      <c r="AH27" s="10"/>
      <c r="AI27" s="81"/>
      <c r="AJ27" s="23"/>
    </row>
    <row r="28" spans="1:36" ht="15.6">
      <c r="A28" s="8"/>
      <c r="B28" s="81"/>
      <c r="C28" s="21"/>
      <c r="D28" s="10"/>
      <c r="E28" s="81"/>
      <c r="F28" s="22"/>
      <c r="G28" s="12"/>
      <c r="H28" s="81"/>
      <c r="I28" s="21"/>
      <c r="J28" s="10"/>
      <c r="K28" s="81"/>
      <c r="L28" s="22"/>
      <c r="M28" s="12"/>
      <c r="N28" s="81"/>
      <c r="O28" s="21"/>
      <c r="P28" s="10"/>
      <c r="Q28" s="81"/>
      <c r="R28" s="22"/>
      <c r="S28" s="12"/>
      <c r="T28" s="81"/>
      <c r="U28" s="21"/>
      <c r="V28" s="10"/>
      <c r="W28" s="81"/>
      <c r="X28" s="22"/>
      <c r="Y28" s="12"/>
      <c r="Z28" s="81"/>
      <c r="AA28" s="21"/>
      <c r="AB28" s="10"/>
      <c r="AC28" s="81"/>
      <c r="AD28" s="22"/>
      <c r="AE28" s="12"/>
      <c r="AF28" s="81"/>
      <c r="AG28" s="21"/>
      <c r="AH28" s="10"/>
      <c r="AI28" s="81"/>
      <c r="AJ28" s="23"/>
    </row>
    <row r="29" spans="1:36" ht="15.6">
      <c r="A29" s="8"/>
      <c r="B29" s="81"/>
      <c r="C29" s="21"/>
      <c r="D29" s="10"/>
      <c r="E29" s="81"/>
      <c r="F29" s="22"/>
      <c r="G29" s="12"/>
      <c r="H29" s="81"/>
      <c r="I29" s="21"/>
      <c r="J29" s="10"/>
      <c r="K29" s="81"/>
      <c r="L29" s="22"/>
      <c r="M29" s="12"/>
      <c r="N29" s="81"/>
      <c r="O29" s="21"/>
      <c r="P29" s="10"/>
      <c r="Q29" s="81"/>
      <c r="R29" s="22"/>
      <c r="S29" s="12"/>
      <c r="T29" s="81"/>
      <c r="U29" s="21"/>
      <c r="V29" s="10"/>
      <c r="W29" s="81"/>
      <c r="X29" s="22"/>
      <c r="Y29" s="12"/>
      <c r="Z29" s="81"/>
      <c r="AA29" s="21"/>
      <c r="AB29" s="10"/>
      <c r="AC29" s="81"/>
      <c r="AD29" s="22"/>
      <c r="AE29" s="12"/>
      <c r="AF29" s="81"/>
      <c r="AG29" s="21"/>
      <c r="AH29" s="10"/>
      <c r="AI29" s="81"/>
      <c r="AJ29" s="23"/>
    </row>
    <row r="30" spans="1:36" ht="15.6">
      <c r="A30" s="8"/>
      <c r="B30" s="81"/>
      <c r="C30" s="21"/>
      <c r="D30" s="10"/>
      <c r="E30" s="81"/>
      <c r="F30" s="22"/>
      <c r="G30" s="12"/>
      <c r="H30" s="81"/>
      <c r="I30" s="21"/>
      <c r="J30" s="10"/>
      <c r="K30" s="81"/>
      <c r="L30" s="22"/>
      <c r="M30" s="12"/>
      <c r="N30" s="81"/>
      <c r="O30" s="21"/>
      <c r="P30" s="10"/>
      <c r="Q30" s="81"/>
      <c r="R30" s="22"/>
      <c r="S30" s="12"/>
      <c r="T30" s="81"/>
      <c r="U30" s="21"/>
      <c r="V30" s="10"/>
      <c r="W30" s="81"/>
      <c r="X30" s="22"/>
      <c r="Y30" s="12"/>
      <c r="Z30" s="81"/>
      <c r="AA30" s="21"/>
      <c r="AB30" s="10"/>
      <c r="AC30" s="81"/>
      <c r="AD30" s="22"/>
      <c r="AE30" s="12"/>
      <c r="AF30" s="81"/>
      <c r="AG30" s="21"/>
      <c r="AH30" s="10"/>
      <c r="AI30" s="81"/>
      <c r="AJ30" s="23"/>
    </row>
    <row r="31" spans="1:36" ht="15.6">
      <c r="A31" s="8"/>
      <c r="B31" s="81"/>
      <c r="C31" s="21"/>
      <c r="D31" s="10"/>
      <c r="E31" s="81"/>
      <c r="F31" s="22"/>
      <c r="G31" s="12"/>
      <c r="H31" s="81"/>
      <c r="I31" s="21"/>
      <c r="J31" s="10"/>
      <c r="K31" s="81"/>
      <c r="L31" s="22"/>
      <c r="M31" s="12"/>
      <c r="N31" s="81"/>
      <c r="O31" s="21"/>
      <c r="P31" s="10"/>
      <c r="Q31" s="81"/>
      <c r="R31" s="22"/>
      <c r="S31" s="12"/>
      <c r="T31" s="81"/>
      <c r="U31" s="21"/>
      <c r="V31" s="10"/>
      <c r="W31" s="81"/>
      <c r="X31" s="22"/>
      <c r="Y31" s="12"/>
      <c r="Z31" s="81"/>
      <c r="AA31" s="21"/>
      <c r="AB31" s="10"/>
      <c r="AC31" s="81"/>
      <c r="AD31" s="22"/>
      <c r="AE31" s="12"/>
      <c r="AF31" s="81"/>
      <c r="AG31" s="21"/>
      <c r="AH31" s="10"/>
      <c r="AI31" s="81"/>
      <c r="AJ31" s="23"/>
    </row>
    <row r="32" spans="1:36" ht="15.6">
      <c r="A32" s="8"/>
      <c r="B32" s="81"/>
      <c r="C32" s="21"/>
      <c r="D32" s="10"/>
      <c r="E32" s="81"/>
      <c r="F32" s="22"/>
      <c r="G32" s="12"/>
      <c r="H32" s="81"/>
      <c r="I32" s="21"/>
      <c r="J32" s="10"/>
      <c r="K32" s="81"/>
      <c r="L32" s="22"/>
      <c r="M32" s="12"/>
      <c r="N32" s="81"/>
      <c r="O32" s="21"/>
      <c r="P32" s="10"/>
      <c r="Q32" s="81"/>
      <c r="R32" s="22"/>
      <c r="S32" s="12"/>
      <c r="T32" s="81"/>
      <c r="U32" s="21"/>
      <c r="V32" s="10"/>
      <c r="W32" s="81"/>
      <c r="X32" s="22"/>
      <c r="Y32" s="12"/>
      <c r="Z32" s="81"/>
      <c r="AA32" s="21"/>
      <c r="AB32" s="10"/>
      <c r="AC32" s="81"/>
      <c r="AD32" s="22"/>
      <c r="AE32" s="12"/>
      <c r="AF32" s="81"/>
      <c r="AG32" s="21"/>
      <c r="AH32" s="10"/>
      <c r="AI32" s="81"/>
      <c r="AJ32" s="23"/>
    </row>
    <row r="33" spans="1:36" ht="15.6">
      <c r="A33" s="8"/>
      <c r="B33" s="81"/>
      <c r="C33" s="21"/>
      <c r="D33" s="10"/>
      <c r="E33" s="81"/>
      <c r="F33" s="22"/>
      <c r="G33" s="12"/>
      <c r="H33" s="81"/>
      <c r="I33" s="21"/>
      <c r="J33" s="10"/>
      <c r="K33" s="81"/>
      <c r="L33" s="22"/>
      <c r="M33" s="12"/>
      <c r="N33" s="81"/>
      <c r="O33" s="21"/>
      <c r="P33" s="10"/>
      <c r="Q33" s="81"/>
      <c r="R33" s="22"/>
      <c r="S33" s="12"/>
      <c r="T33" s="81"/>
      <c r="U33" s="21"/>
      <c r="V33" s="10"/>
      <c r="W33" s="81"/>
      <c r="X33" s="22"/>
      <c r="Y33" s="12"/>
      <c r="Z33" s="81"/>
      <c r="AA33" s="21"/>
      <c r="AB33" s="10"/>
      <c r="AC33" s="81"/>
      <c r="AD33" s="22"/>
      <c r="AE33" s="12"/>
      <c r="AF33" s="81"/>
      <c r="AG33" s="21"/>
      <c r="AH33" s="10"/>
      <c r="AI33" s="81"/>
      <c r="AJ33" s="23"/>
    </row>
    <row r="34" spans="1:36" ht="15.6">
      <c r="A34" s="8"/>
      <c r="B34" s="81"/>
      <c r="C34" s="21"/>
      <c r="D34" s="10"/>
      <c r="E34" s="81"/>
      <c r="F34" s="22"/>
      <c r="G34" s="12"/>
      <c r="H34" s="81"/>
      <c r="I34" s="21"/>
      <c r="J34" s="10"/>
      <c r="K34" s="81"/>
      <c r="L34" s="22"/>
      <c r="M34" s="12"/>
      <c r="N34" s="81"/>
      <c r="O34" s="21"/>
      <c r="P34" s="10"/>
      <c r="Q34" s="81"/>
      <c r="R34" s="22"/>
      <c r="S34" s="12"/>
      <c r="T34" s="81"/>
      <c r="U34" s="21"/>
      <c r="V34" s="10"/>
      <c r="W34" s="81"/>
      <c r="X34" s="22"/>
      <c r="Y34" s="12"/>
      <c r="Z34" s="81"/>
      <c r="AA34" s="21"/>
      <c r="AB34" s="10"/>
      <c r="AC34" s="81"/>
      <c r="AD34" s="22"/>
      <c r="AE34" s="12"/>
      <c r="AF34" s="81"/>
      <c r="AG34" s="21"/>
      <c r="AH34" s="10"/>
      <c r="AI34" s="81"/>
      <c r="AJ34" s="23"/>
    </row>
    <row r="35" spans="1:36" ht="15.6">
      <c r="A35" s="8"/>
      <c r="B35" s="81"/>
      <c r="C35" s="21"/>
      <c r="D35" s="10"/>
      <c r="E35" s="81"/>
      <c r="F35" s="22"/>
      <c r="G35" s="12"/>
      <c r="H35" s="81"/>
      <c r="I35" s="21"/>
      <c r="J35" s="10"/>
      <c r="K35" s="81"/>
      <c r="L35" s="22"/>
      <c r="M35" s="12"/>
      <c r="N35" s="81"/>
      <c r="O35" s="21"/>
      <c r="P35" s="10"/>
      <c r="Q35" s="81"/>
      <c r="R35" s="22"/>
      <c r="S35" s="12"/>
      <c r="T35" s="81"/>
      <c r="U35" s="21"/>
      <c r="V35" s="10"/>
      <c r="W35" s="81"/>
      <c r="X35" s="22"/>
      <c r="Y35" s="12"/>
      <c r="Z35" s="81"/>
      <c r="AA35" s="21"/>
      <c r="AB35" s="10"/>
      <c r="AC35" s="81"/>
      <c r="AD35" s="22"/>
      <c r="AE35" s="12"/>
      <c r="AF35" s="81"/>
      <c r="AG35" s="21"/>
      <c r="AH35" s="10"/>
      <c r="AI35" s="81"/>
      <c r="AJ35" s="23"/>
    </row>
    <row r="36" spans="1:36" ht="15.6">
      <c r="A36" s="8"/>
      <c r="B36" s="81"/>
      <c r="C36" s="21"/>
      <c r="D36" s="10"/>
      <c r="E36" s="81"/>
      <c r="F36" s="22"/>
      <c r="G36" s="12"/>
      <c r="H36" s="81"/>
      <c r="I36" s="21"/>
      <c r="J36" s="10"/>
      <c r="K36" s="81"/>
      <c r="L36" s="22"/>
      <c r="M36" s="12"/>
      <c r="N36" s="81"/>
      <c r="O36" s="21"/>
      <c r="P36" s="10"/>
      <c r="Q36" s="81"/>
      <c r="R36" s="22"/>
      <c r="S36" s="12"/>
      <c r="T36" s="81"/>
      <c r="U36" s="21"/>
      <c r="V36" s="10"/>
      <c r="W36" s="81"/>
      <c r="X36" s="22"/>
      <c r="Y36" s="12"/>
      <c r="Z36" s="81"/>
      <c r="AA36" s="21"/>
      <c r="AB36" s="10"/>
      <c r="AC36" s="81"/>
      <c r="AD36" s="22"/>
      <c r="AE36" s="12"/>
      <c r="AF36" s="81"/>
      <c r="AG36" s="21"/>
      <c r="AH36" s="10"/>
      <c r="AI36" s="81"/>
      <c r="AJ36" s="23"/>
    </row>
    <row r="37" spans="1:36" ht="15.6">
      <c r="A37" s="8"/>
      <c r="B37" s="81"/>
      <c r="C37" s="21"/>
      <c r="D37" s="10"/>
      <c r="E37" s="81"/>
      <c r="F37" s="22"/>
      <c r="G37" s="12"/>
      <c r="H37" s="81"/>
      <c r="I37" s="21"/>
      <c r="J37" s="10"/>
      <c r="K37" s="81"/>
      <c r="L37" s="22"/>
      <c r="M37" s="12"/>
      <c r="N37" s="81"/>
      <c r="O37" s="21"/>
      <c r="P37" s="10"/>
      <c r="Q37" s="81"/>
      <c r="R37" s="22"/>
      <c r="S37" s="12"/>
      <c r="T37" s="81"/>
      <c r="U37" s="21"/>
      <c r="V37" s="10"/>
      <c r="W37" s="81"/>
      <c r="X37" s="22"/>
      <c r="Y37" s="12"/>
      <c r="Z37" s="81"/>
      <c r="AA37" s="21"/>
      <c r="AB37" s="10"/>
      <c r="AC37" s="81"/>
      <c r="AD37" s="22"/>
      <c r="AE37" s="12"/>
      <c r="AF37" s="81"/>
      <c r="AG37" s="21"/>
      <c r="AH37" s="10"/>
      <c r="AI37" s="81"/>
      <c r="AJ37" s="23"/>
    </row>
    <row r="38" spans="1:36" ht="15.6">
      <c r="A38" s="8"/>
      <c r="B38" s="81"/>
      <c r="C38" s="21"/>
      <c r="D38" s="10"/>
      <c r="E38" s="81"/>
      <c r="F38" s="22"/>
      <c r="G38" s="12"/>
      <c r="H38" s="81"/>
      <c r="I38" s="21"/>
      <c r="J38" s="10"/>
      <c r="K38" s="81"/>
      <c r="L38" s="22"/>
      <c r="M38" s="12"/>
      <c r="N38" s="81"/>
      <c r="O38" s="21"/>
      <c r="P38" s="10"/>
      <c r="Q38" s="81"/>
      <c r="R38" s="22"/>
      <c r="S38" s="12"/>
      <c r="T38" s="81"/>
      <c r="U38" s="21"/>
      <c r="V38" s="10"/>
      <c r="W38" s="81"/>
      <c r="X38" s="22"/>
      <c r="Y38" s="12"/>
      <c r="Z38" s="81"/>
      <c r="AA38" s="21"/>
      <c r="AB38" s="10"/>
      <c r="AC38" s="81"/>
      <c r="AD38" s="22"/>
      <c r="AE38" s="12"/>
      <c r="AF38" s="81"/>
      <c r="AG38" s="21"/>
      <c r="AH38" s="10"/>
      <c r="AI38" s="81"/>
      <c r="AJ38" s="23"/>
    </row>
    <row r="39" spans="1:36" ht="15.6">
      <c r="A39" s="8"/>
      <c r="B39" s="81"/>
      <c r="C39" s="21"/>
      <c r="D39" s="10"/>
      <c r="E39" s="81"/>
      <c r="F39" s="22"/>
      <c r="G39" s="12"/>
      <c r="H39" s="81"/>
      <c r="I39" s="21"/>
      <c r="J39" s="10"/>
      <c r="K39" s="81"/>
      <c r="L39" s="22"/>
      <c r="M39" s="12"/>
      <c r="N39" s="81"/>
      <c r="O39" s="21"/>
      <c r="P39" s="10"/>
      <c r="Q39" s="81"/>
      <c r="R39" s="22"/>
      <c r="S39" s="12"/>
      <c r="T39" s="81"/>
      <c r="U39" s="21"/>
      <c r="V39" s="10"/>
      <c r="W39" s="81"/>
      <c r="X39" s="22"/>
      <c r="Y39" s="12"/>
      <c r="Z39" s="81"/>
      <c r="AA39" s="21"/>
      <c r="AB39" s="10"/>
      <c r="AC39" s="81"/>
      <c r="AD39" s="22"/>
      <c r="AE39" s="12"/>
      <c r="AF39" s="81"/>
      <c r="AG39" s="21"/>
      <c r="AH39" s="10"/>
      <c r="AI39" s="81"/>
      <c r="AJ39" s="23"/>
    </row>
    <row r="40" spans="1:36" ht="15.6">
      <c r="A40" s="8"/>
      <c r="B40" s="81"/>
      <c r="C40" s="21"/>
      <c r="D40" s="10"/>
      <c r="E40" s="81"/>
      <c r="F40" s="22"/>
      <c r="G40" s="12"/>
      <c r="H40" s="81"/>
      <c r="I40" s="21"/>
      <c r="J40" s="10"/>
      <c r="K40" s="81"/>
      <c r="L40" s="22"/>
      <c r="M40" s="12"/>
      <c r="N40" s="81"/>
      <c r="O40" s="21"/>
      <c r="P40" s="10"/>
      <c r="Q40" s="81"/>
      <c r="R40" s="22"/>
      <c r="S40" s="12"/>
      <c r="T40" s="81"/>
      <c r="U40" s="21"/>
      <c r="V40" s="10"/>
      <c r="W40" s="81"/>
      <c r="X40" s="22"/>
      <c r="Y40" s="12"/>
      <c r="Z40" s="81"/>
      <c r="AA40" s="21"/>
      <c r="AB40" s="10"/>
      <c r="AC40" s="81"/>
      <c r="AD40" s="22"/>
      <c r="AE40" s="12"/>
      <c r="AF40" s="81"/>
      <c r="AG40" s="21"/>
      <c r="AH40" s="10"/>
      <c r="AI40" s="81"/>
      <c r="AJ40" s="23"/>
    </row>
    <row r="41" spans="1:36" ht="15.6">
      <c r="A41" s="8"/>
      <c r="B41" s="81"/>
      <c r="C41" s="21"/>
      <c r="D41" s="10"/>
      <c r="E41" s="81"/>
      <c r="F41" s="22"/>
      <c r="G41" s="12"/>
      <c r="H41" s="81"/>
      <c r="I41" s="21"/>
      <c r="J41" s="10"/>
      <c r="K41" s="81"/>
      <c r="L41" s="22"/>
      <c r="M41" s="12"/>
      <c r="N41" s="81"/>
      <c r="O41" s="21"/>
      <c r="P41" s="10"/>
      <c r="Q41" s="81"/>
      <c r="R41" s="22"/>
      <c r="S41" s="12"/>
      <c r="T41" s="81"/>
      <c r="U41" s="21"/>
      <c r="V41" s="10"/>
      <c r="W41" s="81"/>
      <c r="X41" s="22"/>
      <c r="Y41" s="12"/>
      <c r="Z41" s="81"/>
      <c r="AA41" s="21"/>
      <c r="AB41" s="10"/>
      <c r="AC41" s="81"/>
      <c r="AD41" s="22"/>
      <c r="AE41" s="12"/>
      <c r="AF41" s="81"/>
      <c r="AG41" s="21"/>
      <c r="AH41" s="10"/>
      <c r="AI41" s="81"/>
      <c r="AJ41" s="23"/>
    </row>
    <row r="42" spans="1:36" ht="15.6">
      <c r="A42" s="8"/>
      <c r="B42" s="81"/>
      <c r="C42" s="21"/>
      <c r="D42" s="10"/>
      <c r="E42" s="81"/>
      <c r="F42" s="22"/>
      <c r="G42" s="12"/>
      <c r="H42" s="81"/>
      <c r="I42" s="21"/>
      <c r="J42" s="10"/>
      <c r="K42" s="81"/>
      <c r="L42" s="22"/>
      <c r="M42" s="12"/>
      <c r="N42" s="81"/>
      <c r="O42" s="21"/>
      <c r="P42" s="10"/>
      <c r="Q42" s="81"/>
      <c r="R42" s="22"/>
      <c r="S42" s="12"/>
      <c r="T42" s="81"/>
      <c r="U42" s="21"/>
      <c r="V42" s="10"/>
      <c r="W42" s="81"/>
      <c r="X42" s="22"/>
      <c r="Y42" s="12"/>
      <c r="Z42" s="81"/>
      <c r="AA42" s="21"/>
      <c r="AB42" s="10"/>
      <c r="AC42" s="81"/>
      <c r="AD42" s="22"/>
      <c r="AE42" s="12"/>
      <c r="AF42" s="81"/>
      <c r="AG42" s="21"/>
      <c r="AH42" s="10"/>
      <c r="AI42" s="81"/>
      <c r="AJ42" s="23"/>
    </row>
    <row r="43" spans="1:36" ht="15.6">
      <c r="A43" s="8"/>
      <c r="B43" s="81"/>
      <c r="C43" s="21"/>
      <c r="D43" s="10"/>
      <c r="E43" s="81"/>
      <c r="F43" s="22"/>
      <c r="G43" s="12"/>
      <c r="H43" s="81"/>
      <c r="I43" s="21"/>
      <c r="J43" s="10"/>
      <c r="K43" s="81"/>
      <c r="L43" s="22"/>
      <c r="M43" s="12"/>
      <c r="N43" s="81"/>
      <c r="O43" s="21"/>
      <c r="P43" s="10"/>
      <c r="Q43" s="81"/>
      <c r="R43" s="22"/>
      <c r="S43" s="12"/>
      <c r="T43" s="81"/>
      <c r="U43" s="21"/>
      <c r="V43" s="10"/>
      <c r="W43" s="81"/>
      <c r="X43" s="22"/>
      <c r="Y43" s="12"/>
      <c r="Z43" s="81"/>
      <c r="AA43" s="21"/>
      <c r="AB43" s="10"/>
      <c r="AC43" s="81"/>
      <c r="AD43" s="22"/>
      <c r="AE43" s="12"/>
      <c r="AF43" s="81"/>
      <c r="AG43" s="21"/>
      <c r="AH43" s="10"/>
      <c r="AI43" s="81"/>
      <c r="AJ43" s="23"/>
    </row>
    <row r="44" spans="1:36" ht="15.6">
      <c r="A44" s="8"/>
      <c r="B44" s="81"/>
      <c r="C44" s="21"/>
      <c r="D44" s="10"/>
      <c r="E44" s="81"/>
      <c r="F44" s="22"/>
      <c r="G44" s="12"/>
      <c r="H44" s="81"/>
      <c r="I44" s="21"/>
      <c r="J44" s="10"/>
      <c r="K44" s="81"/>
      <c r="L44" s="22"/>
      <c r="M44" s="12"/>
      <c r="N44" s="81"/>
      <c r="O44" s="21"/>
      <c r="P44" s="10"/>
      <c r="Q44" s="81"/>
      <c r="R44" s="22"/>
      <c r="S44" s="12"/>
      <c r="T44" s="81"/>
      <c r="U44" s="21"/>
      <c r="V44" s="10"/>
      <c r="W44" s="81"/>
      <c r="X44" s="22"/>
      <c r="Y44" s="12"/>
      <c r="Z44" s="81"/>
      <c r="AA44" s="21"/>
      <c r="AB44" s="10"/>
      <c r="AC44" s="81"/>
      <c r="AD44" s="22"/>
      <c r="AE44" s="12"/>
      <c r="AF44" s="81"/>
      <c r="AG44" s="21"/>
      <c r="AH44" s="10"/>
      <c r="AI44" s="81"/>
      <c r="AJ44" s="23"/>
    </row>
    <row r="45" spans="1:36" ht="15.6">
      <c r="A45" s="8"/>
      <c r="B45" s="81"/>
      <c r="C45" s="21"/>
      <c r="D45" s="10"/>
      <c r="E45" s="81"/>
      <c r="F45" s="22"/>
      <c r="G45" s="12"/>
      <c r="H45" s="81"/>
      <c r="I45" s="21"/>
      <c r="J45" s="10"/>
      <c r="K45" s="81"/>
      <c r="L45" s="22"/>
      <c r="M45" s="12"/>
      <c r="N45" s="81"/>
      <c r="O45" s="21"/>
      <c r="P45" s="10"/>
      <c r="Q45" s="81"/>
      <c r="R45" s="22"/>
      <c r="S45" s="12"/>
      <c r="T45" s="81"/>
      <c r="U45" s="21"/>
      <c r="V45" s="10"/>
      <c r="W45" s="81"/>
      <c r="X45" s="22"/>
      <c r="Y45" s="12"/>
      <c r="Z45" s="81"/>
      <c r="AA45" s="21"/>
      <c r="AB45" s="10"/>
      <c r="AC45" s="81"/>
      <c r="AD45" s="22"/>
      <c r="AE45" s="12"/>
      <c r="AF45" s="81"/>
      <c r="AG45" s="21"/>
      <c r="AH45" s="10"/>
      <c r="AI45" s="81"/>
      <c r="AJ45" s="23"/>
    </row>
    <row r="46" spans="1:36" ht="15.6">
      <c r="A46" s="8"/>
      <c r="B46" s="81"/>
      <c r="C46" s="21"/>
      <c r="D46" s="10"/>
      <c r="E46" s="81"/>
      <c r="F46" s="22"/>
      <c r="G46" s="12"/>
      <c r="H46" s="81"/>
      <c r="I46" s="21"/>
      <c r="J46" s="10"/>
      <c r="K46" s="81"/>
      <c r="L46" s="22"/>
      <c r="M46" s="12"/>
      <c r="N46" s="81"/>
      <c r="O46" s="21"/>
      <c r="P46" s="10"/>
      <c r="Q46" s="81"/>
      <c r="R46" s="22"/>
      <c r="S46" s="12"/>
      <c r="T46" s="81"/>
      <c r="U46" s="21"/>
      <c r="V46" s="10"/>
      <c r="W46" s="81"/>
      <c r="X46" s="22"/>
      <c r="Y46" s="12"/>
      <c r="Z46" s="81"/>
      <c r="AA46" s="21"/>
      <c r="AB46" s="10"/>
      <c r="AC46" s="81"/>
      <c r="AD46" s="22"/>
      <c r="AE46" s="12"/>
      <c r="AF46" s="81"/>
      <c r="AG46" s="21"/>
      <c r="AH46" s="10"/>
      <c r="AI46" s="81"/>
      <c r="AJ46" s="23"/>
    </row>
    <row r="47" spans="1:36" ht="15.6">
      <c r="A47" s="8"/>
      <c r="B47" s="81"/>
      <c r="C47" s="21"/>
      <c r="D47" s="10"/>
      <c r="E47" s="81"/>
      <c r="F47" s="22"/>
      <c r="G47" s="12"/>
      <c r="H47" s="81"/>
      <c r="I47" s="21"/>
      <c r="J47" s="10"/>
      <c r="K47" s="81"/>
      <c r="L47" s="22"/>
      <c r="M47" s="12"/>
      <c r="N47" s="81"/>
      <c r="O47" s="21"/>
      <c r="P47" s="10"/>
      <c r="Q47" s="81"/>
      <c r="R47" s="22"/>
      <c r="S47" s="12"/>
      <c r="T47" s="81"/>
      <c r="U47" s="21"/>
      <c r="V47" s="10"/>
      <c r="W47" s="81"/>
      <c r="X47" s="22"/>
      <c r="Y47" s="12"/>
      <c r="Z47" s="81"/>
      <c r="AA47" s="21"/>
      <c r="AB47" s="10"/>
      <c r="AC47" s="81"/>
      <c r="AD47" s="22"/>
      <c r="AE47" s="12"/>
      <c r="AF47" s="81"/>
      <c r="AG47" s="21"/>
      <c r="AH47" s="10"/>
      <c r="AI47" s="81"/>
      <c r="AJ47" s="23"/>
    </row>
    <row r="48" spans="1:36" ht="15.6">
      <c r="A48" s="8"/>
      <c r="B48" s="81"/>
      <c r="C48" s="21"/>
      <c r="D48" s="10"/>
      <c r="E48" s="81"/>
      <c r="F48" s="22"/>
      <c r="G48" s="12"/>
      <c r="H48" s="81"/>
      <c r="I48" s="21"/>
      <c r="J48" s="10"/>
      <c r="K48" s="81"/>
      <c r="L48" s="22"/>
      <c r="M48" s="12"/>
      <c r="N48" s="81"/>
      <c r="O48" s="21"/>
      <c r="P48" s="10"/>
      <c r="Q48" s="81"/>
      <c r="R48" s="22"/>
      <c r="S48" s="12"/>
      <c r="T48" s="81"/>
      <c r="U48" s="21"/>
      <c r="V48" s="10"/>
      <c r="W48" s="81"/>
      <c r="X48" s="22"/>
      <c r="Y48" s="12"/>
      <c r="Z48" s="81"/>
      <c r="AA48" s="21"/>
      <c r="AB48" s="10"/>
      <c r="AC48" s="81"/>
      <c r="AD48" s="22"/>
      <c r="AE48" s="12"/>
      <c r="AF48" s="81"/>
      <c r="AG48" s="21"/>
      <c r="AH48" s="10"/>
      <c r="AI48" s="81"/>
      <c r="AJ48" s="23"/>
    </row>
    <row r="49" spans="1:36" ht="15.6">
      <c r="A49" s="8"/>
      <c r="B49" s="81"/>
      <c r="C49" s="21"/>
      <c r="D49" s="10"/>
      <c r="E49" s="81"/>
      <c r="F49" s="22"/>
      <c r="G49" s="12"/>
      <c r="H49" s="81"/>
      <c r="I49" s="21"/>
      <c r="J49" s="10"/>
      <c r="K49" s="81"/>
      <c r="L49" s="22"/>
      <c r="M49" s="12"/>
      <c r="N49" s="81"/>
      <c r="O49" s="21"/>
      <c r="P49" s="10"/>
      <c r="Q49" s="81"/>
      <c r="R49" s="22"/>
      <c r="S49" s="12"/>
      <c r="T49" s="81"/>
      <c r="U49" s="21"/>
      <c r="V49" s="10"/>
      <c r="W49" s="81"/>
      <c r="X49" s="22"/>
      <c r="Y49" s="12"/>
      <c r="Z49" s="81"/>
      <c r="AA49" s="21"/>
      <c r="AB49" s="10"/>
      <c r="AC49" s="81"/>
      <c r="AD49" s="22"/>
      <c r="AE49" s="12"/>
      <c r="AF49" s="81"/>
      <c r="AG49" s="21"/>
      <c r="AH49" s="10"/>
      <c r="AI49" s="81"/>
      <c r="AJ49" s="23"/>
    </row>
    <row r="50" spans="1:36" ht="15.6">
      <c r="A50" s="8"/>
      <c r="B50" s="81"/>
      <c r="C50" s="21"/>
      <c r="D50" s="10"/>
      <c r="E50" s="81"/>
      <c r="F50" s="22"/>
      <c r="G50" s="12"/>
      <c r="H50" s="81"/>
      <c r="I50" s="21"/>
      <c r="J50" s="10"/>
      <c r="K50" s="81"/>
      <c r="L50" s="22"/>
      <c r="M50" s="12"/>
      <c r="N50" s="81"/>
      <c r="O50" s="21"/>
      <c r="P50" s="10"/>
      <c r="Q50" s="81"/>
      <c r="R50" s="22"/>
      <c r="S50" s="12"/>
      <c r="T50" s="81"/>
      <c r="U50" s="21"/>
      <c r="V50" s="10"/>
      <c r="W50" s="81"/>
      <c r="X50" s="22"/>
      <c r="Y50" s="12"/>
      <c r="Z50" s="81"/>
      <c r="AA50" s="21"/>
      <c r="AB50" s="10"/>
      <c r="AC50" s="81"/>
      <c r="AD50" s="22"/>
      <c r="AE50" s="12"/>
      <c r="AF50" s="81"/>
      <c r="AG50" s="21"/>
      <c r="AH50" s="10"/>
      <c r="AI50" s="81"/>
      <c r="AJ50" s="23"/>
    </row>
    <row r="51" spans="1:36" ht="15.6">
      <c r="A51" s="8"/>
      <c r="B51" s="81"/>
      <c r="C51" s="21"/>
      <c r="D51" s="10"/>
      <c r="E51" s="81"/>
      <c r="F51" s="22"/>
      <c r="G51" s="12"/>
      <c r="H51" s="81"/>
      <c r="I51" s="21"/>
      <c r="J51" s="10"/>
      <c r="K51" s="81"/>
      <c r="L51" s="22"/>
      <c r="M51" s="12"/>
      <c r="N51" s="81"/>
      <c r="O51" s="21"/>
      <c r="P51" s="10"/>
      <c r="Q51" s="81"/>
      <c r="R51" s="22"/>
      <c r="S51" s="12"/>
      <c r="T51" s="81"/>
      <c r="U51" s="21"/>
      <c r="V51" s="10"/>
      <c r="W51" s="81"/>
      <c r="X51" s="22"/>
      <c r="Y51" s="12"/>
      <c r="Z51" s="81"/>
      <c r="AA51" s="21"/>
      <c r="AB51" s="10"/>
      <c r="AC51" s="81"/>
      <c r="AD51" s="22"/>
      <c r="AE51" s="12"/>
      <c r="AF51" s="81"/>
      <c r="AG51" s="21"/>
      <c r="AH51" s="10"/>
      <c r="AI51" s="81"/>
      <c r="AJ51" s="23"/>
    </row>
    <row r="52" spans="1:36" ht="15.6">
      <c r="A52" s="8"/>
      <c r="B52" s="81"/>
      <c r="C52" s="21"/>
      <c r="D52" s="10"/>
      <c r="E52" s="81"/>
      <c r="F52" s="22"/>
      <c r="G52" s="12"/>
      <c r="H52" s="81"/>
      <c r="I52" s="21"/>
      <c r="J52" s="10"/>
      <c r="K52" s="81"/>
      <c r="L52" s="22"/>
      <c r="M52" s="12"/>
      <c r="N52" s="81"/>
      <c r="O52" s="21"/>
      <c r="P52" s="10"/>
      <c r="Q52" s="81"/>
      <c r="R52" s="22"/>
      <c r="S52" s="12"/>
      <c r="T52" s="81"/>
      <c r="U52" s="21"/>
      <c r="V52" s="10"/>
      <c r="W52" s="81"/>
      <c r="X52" s="22"/>
      <c r="Y52" s="12"/>
      <c r="Z52" s="81"/>
      <c r="AA52" s="21"/>
      <c r="AB52" s="10"/>
      <c r="AC52" s="81"/>
      <c r="AD52" s="22"/>
      <c r="AE52" s="12"/>
      <c r="AF52" s="81"/>
      <c r="AG52" s="21"/>
      <c r="AH52" s="10"/>
      <c r="AI52" s="81"/>
      <c r="AJ52" s="23"/>
    </row>
    <row r="53" spans="1:36" ht="15.6">
      <c r="A53" s="8"/>
      <c r="B53" s="81"/>
      <c r="C53" s="21"/>
      <c r="D53" s="10"/>
      <c r="E53" s="81"/>
      <c r="F53" s="22"/>
      <c r="G53" s="12"/>
      <c r="H53" s="81"/>
      <c r="I53" s="21"/>
      <c r="J53" s="10"/>
      <c r="K53" s="81"/>
      <c r="L53" s="22"/>
      <c r="M53" s="12"/>
      <c r="N53" s="81"/>
      <c r="O53" s="21"/>
      <c r="P53" s="10"/>
      <c r="Q53" s="81"/>
      <c r="R53" s="22"/>
      <c r="S53" s="12"/>
      <c r="T53" s="81"/>
      <c r="U53" s="21"/>
      <c r="V53" s="10"/>
      <c r="W53" s="81"/>
      <c r="X53" s="22"/>
      <c r="Y53" s="12"/>
      <c r="Z53" s="81"/>
      <c r="AA53" s="21"/>
      <c r="AB53" s="10"/>
      <c r="AC53" s="81"/>
      <c r="AD53" s="22"/>
      <c r="AE53" s="12"/>
      <c r="AF53" s="81"/>
      <c r="AG53" s="21"/>
      <c r="AH53" s="10"/>
      <c r="AI53" s="81"/>
      <c r="AJ53" s="23"/>
    </row>
    <row r="54" spans="1:36" ht="15.6">
      <c r="A54" s="8"/>
      <c r="B54" s="81"/>
      <c r="C54" s="21"/>
      <c r="D54" s="10"/>
      <c r="E54" s="81"/>
      <c r="F54" s="22"/>
      <c r="G54" s="12"/>
      <c r="H54" s="81"/>
      <c r="I54" s="21"/>
      <c r="J54" s="10"/>
      <c r="K54" s="81"/>
      <c r="L54" s="22"/>
      <c r="M54" s="12"/>
      <c r="N54" s="81"/>
      <c r="O54" s="21"/>
      <c r="P54" s="10"/>
      <c r="Q54" s="81"/>
      <c r="R54" s="22"/>
      <c r="S54" s="12"/>
      <c r="T54" s="81"/>
      <c r="U54" s="21"/>
      <c r="V54" s="10"/>
      <c r="W54" s="81"/>
      <c r="X54" s="22"/>
      <c r="Y54" s="12"/>
      <c r="Z54" s="81"/>
      <c r="AA54" s="21"/>
      <c r="AB54" s="10"/>
      <c r="AC54" s="81"/>
      <c r="AD54" s="22"/>
      <c r="AE54" s="12"/>
      <c r="AF54" s="81"/>
      <c r="AG54" s="21"/>
      <c r="AH54" s="10"/>
      <c r="AI54" s="81"/>
      <c r="AJ54" s="23"/>
    </row>
    <row r="55" spans="1:36" ht="15.6">
      <c r="A55" s="8"/>
      <c r="B55" s="81"/>
      <c r="C55" s="21"/>
      <c r="D55" s="10"/>
      <c r="E55" s="81"/>
      <c r="F55" s="22"/>
      <c r="G55" s="12"/>
      <c r="H55" s="81"/>
      <c r="I55" s="21"/>
      <c r="J55" s="10"/>
      <c r="K55" s="81"/>
      <c r="L55" s="22"/>
      <c r="M55" s="12"/>
      <c r="N55" s="81"/>
      <c r="O55" s="21"/>
      <c r="P55" s="10"/>
      <c r="Q55" s="81"/>
      <c r="R55" s="22"/>
      <c r="S55" s="12"/>
      <c r="T55" s="81"/>
      <c r="U55" s="21"/>
      <c r="V55" s="10"/>
      <c r="W55" s="81"/>
      <c r="X55" s="22"/>
      <c r="Y55" s="12"/>
      <c r="Z55" s="81"/>
      <c r="AA55" s="21"/>
      <c r="AB55" s="10"/>
      <c r="AC55" s="81"/>
      <c r="AD55" s="22"/>
      <c r="AE55" s="12"/>
      <c r="AF55" s="81"/>
      <c r="AG55" s="21"/>
      <c r="AH55" s="10"/>
      <c r="AI55" s="81"/>
      <c r="AJ55" s="23"/>
    </row>
    <row r="56" spans="1:36" ht="15.6">
      <c r="A56" s="8"/>
      <c r="B56" s="81"/>
      <c r="C56" s="21"/>
      <c r="D56" s="10"/>
      <c r="E56" s="81"/>
      <c r="F56" s="22"/>
      <c r="G56" s="12"/>
      <c r="H56" s="81"/>
      <c r="I56" s="21"/>
      <c r="J56" s="10"/>
      <c r="K56" s="81"/>
      <c r="L56" s="22"/>
      <c r="M56" s="12"/>
      <c r="N56" s="81"/>
      <c r="O56" s="21"/>
      <c r="P56" s="10"/>
      <c r="Q56" s="81"/>
      <c r="R56" s="22"/>
      <c r="S56" s="12"/>
      <c r="T56" s="81"/>
      <c r="U56" s="21"/>
      <c r="V56" s="10"/>
      <c r="W56" s="81"/>
      <c r="X56" s="22"/>
      <c r="Y56" s="12"/>
      <c r="Z56" s="81"/>
      <c r="AA56" s="21"/>
      <c r="AB56" s="10"/>
      <c r="AC56" s="81"/>
      <c r="AD56" s="22"/>
      <c r="AE56" s="12"/>
      <c r="AF56" s="81"/>
      <c r="AG56" s="21"/>
      <c r="AH56" s="10"/>
      <c r="AI56" s="81"/>
      <c r="AJ56" s="23"/>
    </row>
    <row r="57" spans="1:36" ht="15.6">
      <c r="A57" s="8"/>
      <c r="B57" s="81"/>
      <c r="C57" s="21"/>
      <c r="D57" s="10"/>
      <c r="E57" s="81"/>
      <c r="F57" s="22"/>
      <c r="G57" s="12"/>
      <c r="H57" s="81"/>
      <c r="I57" s="21"/>
      <c r="J57" s="10"/>
      <c r="K57" s="81"/>
      <c r="L57" s="22"/>
      <c r="M57" s="12"/>
      <c r="N57" s="81"/>
      <c r="O57" s="21"/>
      <c r="P57" s="10"/>
      <c r="Q57" s="81"/>
      <c r="R57" s="22"/>
      <c r="S57" s="12"/>
      <c r="T57" s="81"/>
      <c r="U57" s="21"/>
      <c r="V57" s="10"/>
      <c r="W57" s="81"/>
      <c r="X57" s="22"/>
      <c r="Y57" s="12"/>
      <c r="Z57" s="81"/>
      <c r="AA57" s="21"/>
      <c r="AB57" s="10"/>
      <c r="AC57" s="81"/>
      <c r="AD57" s="22"/>
      <c r="AE57" s="12"/>
      <c r="AF57" s="81"/>
      <c r="AG57" s="21"/>
      <c r="AH57" s="10"/>
      <c r="AI57" s="81"/>
      <c r="AJ57" s="23"/>
    </row>
    <row r="58" spans="1:36" ht="15.6">
      <c r="A58" s="8"/>
      <c r="B58" s="81"/>
      <c r="C58" s="21"/>
      <c r="D58" s="10"/>
      <c r="E58" s="81"/>
      <c r="F58" s="22"/>
      <c r="G58" s="12"/>
      <c r="H58" s="81"/>
      <c r="I58" s="21"/>
      <c r="J58" s="10"/>
      <c r="K58" s="81"/>
      <c r="L58" s="22"/>
      <c r="M58" s="12"/>
      <c r="N58" s="81"/>
      <c r="O58" s="21"/>
      <c r="P58" s="10"/>
      <c r="Q58" s="81"/>
      <c r="R58" s="22"/>
      <c r="S58" s="12"/>
      <c r="T58" s="81"/>
      <c r="U58" s="21"/>
      <c r="V58" s="10"/>
      <c r="W58" s="81"/>
      <c r="X58" s="22"/>
      <c r="Y58" s="12"/>
      <c r="Z58" s="81"/>
      <c r="AA58" s="21"/>
      <c r="AB58" s="10"/>
      <c r="AC58" s="81"/>
      <c r="AD58" s="22"/>
      <c r="AE58" s="12"/>
      <c r="AF58" s="81"/>
      <c r="AG58" s="21"/>
      <c r="AH58" s="10"/>
      <c r="AI58" s="81"/>
      <c r="AJ58" s="23"/>
    </row>
    <row r="59" spans="1:36" ht="15.6">
      <c r="A59" s="8"/>
      <c r="B59" s="81"/>
      <c r="C59" s="21"/>
      <c r="D59" s="10"/>
      <c r="E59" s="81"/>
      <c r="F59" s="22"/>
      <c r="G59" s="12"/>
      <c r="H59" s="81"/>
      <c r="I59" s="21"/>
      <c r="J59" s="10"/>
      <c r="K59" s="81"/>
      <c r="L59" s="22"/>
      <c r="M59" s="12"/>
      <c r="N59" s="81"/>
      <c r="O59" s="21"/>
      <c r="P59" s="10"/>
      <c r="Q59" s="81"/>
      <c r="R59" s="22"/>
      <c r="S59" s="12"/>
      <c r="T59" s="81"/>
      <c r="U59" s="21"/>
      <c r="V59" s="10"/>
      <c r="W59" s="81"/>
      <c r="X59" s="22"/>
      <c r="Y59" s="12"/>
      <c r="Z59" s="81"/>
      <c r="AA59" s="21"/>
      <c r="AB59" s="10"/>
      <c r="AC59" s="81"/>
      <c r="AD59" s="22"/>
      <c r="AE59" s="12"/>
      <c r="AF59" s="81"/>
      <c r="AG59" s="21"/>
      <c r="AH59" s="10"/>
      <c r="AI59" s="81"/>
      <c r="AJ59" s="23"/>
    </row>
    <row r="60" spans="1:36" ht="16.2" thickBot="1">
      <c r="A60" s="118" t="s">
        <v>16</v>
      </c>
      <c r="B60" s="117"/>
      <c r="C60" s="32">
        <f>SUM(C12:C59)</f>
        <v>0</v>
      </c>
      <c r="D60" s="116" t="str">
        <f>A60</f>
        <v>Summe -</v>
      </c>
      <c r="E60" s="117"/>
      <c r="F60" s="34">
        <f>SUM(F12:F59)</f>
        <v>0</v>
      </c>
      <c r="G60" s="116" t="str">
        <f>A60</f>
        <v>Summe -</v>
      </c>
      <c r="H60" s="117"/>
      <c r="I60" s="32">
        <f>SUM(I12:I59)</f>
        <v>0</v>
      </c>
      <c r="J60" s="116" t="str">
        <f>A60</f>
        <v>Summe -</v>
      </c>
      <c r="K60" s="117"/>
      <c r="L60" s="34">
        <f>SUM(L12:L59)</f>
        <v>0</v>
      </c>
      <c r="M60" s="116" t="str">
        <f>A60</f>
        <v>Summe -</v>
      </c>
      <c r="N60" s="117"/>
      <c r="O60" s="32">
        <f>SUM(O12:O59)</f>
        <v>0</v>
      </c>
      <c r="P60" s="116" t="str">
        <f>A60</f>
        <v>Summe -</v>
      </c>
      <c r="Q60" s="117"/>
      <c r="R60" s="34">
        <f>SUM(R12:R59)</f>
        <v>0</v>
      </c>
      <c r="S60" s="116" t="str">
        <f>A60</f>
        <v>Summe -</v>
      </c>
      <c r="T60" s="117"/>
      <c r="U60" s="32">
        <f>SUM(U12:U59)</f>
        <v>0</v>
      </c>
      <c r="V60" s="116" t="str">
        <f>A60</f>
        <v>Summe -</v>
      </c>
      <c r="W60" s="117"/>
      <c r="X60" s="34">
        <f>SUM(X12:X59)</f>
        <v>0</v>
      </c>
      <c r="Y60" s="116" t="str">
        <f>A60</f>
        <v>Summe -</v>
      </c>
      <c r="Z60" s="117"/>
      <c r="AA60" s="32">
        <f>SUM(AA12:AA59)</f>
        <v>0</v>
      </c>
      <c r="AB60" s="116" t="str">
        <f>A60</f>
        <v>Summe -</v>
      </c>
      <c r="AC60" s="117"/>
      <c r="AD60" s="34">
        <f>SUM(AD12:AD59)</f>
        <v>0</v>
      </c>
      <c r="AE60" s="116" t="str">
        <f>A60</f>
        <v>Summe -</v>
      </c>
      <c r="AF60" s="117"/>
      <c r="AG60" s="32">
        <f>SUM(AG12:AG59)</f>
        <v>0</v>
      </c>
      <c r="AH60" s="116" t="str">
        <f>A60</f>
        <v>Summe -</v>
      </c>
      <c r="AI60" s="117"/>
      <c r="AJ60" s="36">
        <f>SUM(AJ12:AJ59)</f>
        <v>0</v>
      </c>
    </row>
    <row r="61" spans="1:36" ht="15.6">
      <c r="A61" s="8"/>
      <c r="B61" s="81"/>
      <c r="C61" s="21"/>
      <c r="D61" s="10"/>
      <c r="E61" s="81"/>
      <c r="F61" s="22"/>
      <c r="G61" s="12"/>
      <c r="H61" s="81"/>
      <c r="I61" s="21"/>
      <c r="J61" s="10"/>
      <c r="K61" s="81"/>
      <c r="L61" s="22"/>
      <c r="M61" s="12"/>
      <c r="N61" s="81"/>
      <c r="O61" s="21"/>
      <c r="P61" s="10"/>
      <c r="Q61" s="81"/>
      <c r="R61" s="22"/>
      <c r="S61" s="12"/>
      <c r="T61" s="81"/>
      <c r="U61" s="21"/>
      <c r="V61" s="80">
        <v>44073</v>
      </c>
      <c r="W61" s="81" t="s">
        <v>18</v>
      </c>
      <c r="X61" s="22">
        <v>100</v>
      </c>
      <c r="Y61" s="12"/>
      <c r="Z61" s="81"/>
      <c r="AA61" s="21"/>
      <c r="AB61" s="10"/>
      <c r="AC61" s="81"/>
      <c r="AD61" s="22"/>
      <c r="AE61" s="12"/>
      <c r="AF61" s="81"/>
      <c r="AG61" s="21"/>
      <c r="AH61" s="10"/>
      <c r="AI61" s="81"/>
      <c r="AJ61" s="23"/>
    </row>
    <row r="62" spans="1:36" ht="15.6">
      <c r="A62" s="8"/>
      <c r="B62" s="81"/>
      <c r="C62" s="21"/>
      <c r="D62" s="10"/>
      <c r="E62" s="81"/>
      <c r="F62" s="22"/>
      <c r="G62" s="12"/>
      <c r="H62" s="81"/>
      <c r="I62" s="21"/>
      <c r="J62" s="10"/>
      <c r="K62" s="81"/>
      <c r="L62" s="22"/>
      <c r="M62" s="12"/>
      <c r="N62" s="81"/>
      <c r="O62" s="21"/>
      <c r="P62" s="10"/>
      <c r="Q62" s="81"/>
      <c r="R62" s="22"/>
      <c r="S62" s="12"/>
      <c r="T62" s="81"/>
      <c r="U62" s="21"/>
      <c r="V62" s="80"/>
      <c r="W62" s="81"/>
      <c r="X62" s="22"/>
      <c r="Y62" s="12"/>
      <c r="Z62" s="81"/>
      <c r="AA62" s="21"/>
      <c r="AB62" s="10"/>
      <c r="AC62" s="81"/>
      <c r="AD62" s="22"/>
      <c r="AE62" s="12"/>
      <c r="AF62" s="81"/>
      <c r="AG62" s="21"/>
      <c r="AH62" s="10"/>
      <c r="AI62" s="81"/>
      <c r="AJ62" s="23"/>
    </row>
    <row r="63" spans="1:36" ht="15.6">
      <c r="A63" s="8"/>
      <c r="B63" s="81"/>
      <c r="C63" s="21"/>
      <c r="D63" s="10"/>
      <c r="E63" s="81"/>
      <c r="F63" s="22"/>
      <c r="G63" s="12"/>
      <c r="H63" s="81"/>
      <c r="I63" s="21"/>
      <c r="J63" s="10"/>
      <c r="K63" s="81"/>
      <c r="L63" s="22"/>
      <c r="M63" s="12"/>
      <c r="N63" s="81"/>
      <c r="O63" s="21"/>
      <c r="P63" s="10"/>
      <c r="Q63" s="81"/>
      <c r="R63" s="22"/>
      <c r="S63" s="12"/>
      <c r="T63" s="81"/>
      <c r="U63" s="21"/>
      <c r="V63" s="80"/>
      <c r="W63" s="81"/>
      <c r="X63" s="22"/>
      <c r="Y63" s="12"/>
      <c r="Z63" s="81"/>
      <c r="AA63" s="21"/>
      <c r="AB63" s="10"/>
      <c r="AC63" s="81"/>
      <c r="AD63" s="22"/>
      <c r="AE63" s="12"/>
      <c r="AF63" s="81"/>
      <c r="AG63" s="21"/>
      <c r="AH63" s="10"/>
      <c r="AI63" s="81"/>
      <c r="AJ63" s="23"/>
    </row>
    <row r="64" spans="1:36" ht="15.6">
      <c r="A64" s="8"/>
      <c r="B64" s="81"/>
      <c r="C64" s="21"/>
      <c r="D64" s="10"/>
      <c r="E64" s="81"/>
      <c r="F64" s="22"/>
      <c r="G64" s="12"/>
      <c r="H64" s="81"/>
      <c r="I64" s="21"/>
      <c r="J64" s="10"/>
      <c r="K64" s="81"/>
      <c r="L64" s="22"/>
      <c r="M64" s="12"/>
      <c r="N64" s="81"/>
      <c r="O64" s="21"/>
      <c r="P64" s="10"/>
      <c r="Q64" s="81"/>
      <c r="R64" s="22"/>
      <c r="S64" s="12"/>
      <c r="T64" s="81"/>
      <c r="U64" s="21"/>
      <c r="V64" s="10"/>
      <c r="W64" s="81"/>
      <c r="X64" s="22"/>
      <c r="Y64" s="12"/>
      <c r="Z64" s="81"/>
      <c r="AA64" s="21"/>
      <c r="AB64" s="10"/>
      <c r="AC64" s="81"/>
      <c r="AD64" s="22"/>
      <c r="AE64" s="12"/>
      <c r="AF64" s="81"/>
      <c r="AG64" s="21"/>
      <c r="AH64" s="10"/>
      <c r="AI64" s="81"/>
      <c r="AJ64" s="23"/>
    </row>
    <row r="65" spans="1:36" ht="15.6">
      <c r="A65" s="8"/>
      <c r="B65" s="81"/>
      <c r="C65" s="21"/>
      <c r="D65" s="10"/>
      <c r="E65" s="81"/>
      <c r="F65" s="22"/>
      <c r="G65" s="12"/>
      <c r="H65" s="81"/>
      <c r="I65" s="21"/>
      <c r="J65" s="10"/>
      <c r="K65" s="81"/>
      <c r="L65" s="22"/>
      <c r="M65" s="12"/>
      <c r="N65" s="81"/>
      <c r="O65" s="21"/>
      <c r="P65" s="10"/>
      <c r="Q65" s="81"/>
      <c r="R65" s="22"/>
      <c r="S65" s="12"/>
      <c r="T65" s="81"/>
      <c r="U65" s="21"/>
      <c r="V65" s="10"/>
      <c r="W65" s="81"/>
      <c r="X65" s="22"/>
      <c r="Y65" s="12"/>
      <c r="Z65" s="81"/>
      <c r="AA65" s="21"/>
      <c r="AB65" s="10"/>
      <c r="AC65" s="81"/>
      <c r="AD65" s="22"/>
      <c r="AE65" s="12"/>
      <c r="AF65" s="81"/>
      <c r="AG65" s="21"/>
      <c r="AH65" s="10"/>
      <c r="AI65" s="81"/>
      <c r="AJ65" s="23"/>
    </row>
    <row r="66" spans="1:36" ht="15.6">
      <c r="A66" s="8"/>
      <c r="B66" s="81"/>
      <c r="C66" s="21"/>
      <c r="D66" s="10"/>
      <c r="E66" s="81"/>
      <c r="F66" s="22"/>
      <c r="G66" s="12"/>
      <c r="H66" s="81"/>
      <c r="I66" s="21"/>
      <c r="J66" s="10"/>
      <c r="K66" s="81"/>
      <c r="L66" s="22"/>
      <c r="M66" s="12"/>
      <c r="N66" s="81"/>
      <c r="O66" s="21"/>
      <c r="P66" s="10"/>
      <c r="Q66" s="81"/>
      <c r="R66" s="22"/>
      <c r="S66" s="12"/>
      <c r="T66" s="81"/>
      <c r="U66" s="21"/>
      <c r="V66" s="10"/>
      <c r="W66" s="81"/>
      <c r="X66" s="22"/>
      <c r="Y66" s="12"/>
      <c r="Z66" s="81"/>
      <c r="AA66" s="21"/>
      <c r="AB66" s="10"/>
      <c r="AC66" s="81"/>
      <c r="AD66" s="22"/>
      <c r="AE66" s="12"/>
      <c r="AF66" s="81"/>
      <c r="AG66" s="21"/>
      <c r="AH66" s="10"/>
      <c r="AI66" s="81"/>
      <c r="AJ66" s="23"/>
    </row>
    <row r="67" spans="1:36" ht="15.6">
      <c r="A67" s="8"/>
      <c r="B67" s="81"/>
      <c r="C67" s="21"/>
      <c r="D67" s="10"/>
      <c r="E67" s="81"/>
      <c r="F67" s="22"/>
      <c r="G67" s="12"/>
      <c r="H67" s="81"/>
      <c r="I67" s="21"/>
      <c r="J67" s="10"/>
      <c r="K67" s="81"/>
      <c r="L67" s="22"/>
      <c r="M67" s="12"/>
      <c r="N67" s="81"/>
      <c r="O67" s="21"/>
      <c r="P67" s="10"/>
      <c r="Q67" s="81"/>
      <c r="R67" s="22"/>
      <c r="S67" s="12"/>
      <c r="T67" s="81"/>
      <c r="U67" s="21"/>
      <c r="V67" s="10"/>
      <c r="W67" s="81"/>
      <c r="X67" s="22"/>
      <c r="Y67" s="12"/>
      <c r="Z67" s="81"/>
      <c r="AA67" s="21"/>
      <c r="AB67" s="10"/>
      <c r="AC67" s="81"/>
      <c r="AD67" s="22"/>
      <c r="AE67" s="12"/>
      <c r="AF67" s="81"/>
      <c r="AG67" s="21"/>
      <c r="AH67" s="10"/>
      <c r="AI67" s="81"/>
      <c r="AJ67" s="23"/>
    </row>
    <row r="68" spans="1:36" ht="15.6">
      <c r="A68" s="8"/>
      <c r="B68" s="81"/>
      <c r="C68" s="21"/>
      <c r="D68" s="10"/>
      <c r="E68" s="81"/>
      <c r="F68" s="22"/>
      <c r="G68" s="12"/>
      <c r="H68" s="81"/>
      <c r="I68" s="21"/>
      <c r="J68" s="10"/>
      <c r="K68" s="81"/>
      <c r="L68" s="22"/>
      <c r="M68" s="12"/>
      <c r="N68" s="81"/>
      <c r="O68" s="21"/>
      <c r="P68" s="10"/>
      <c r="Q68" s="81"/>
      <c r="R68" s="22"/>
      <c r="S68" s="12"/>
      <c r="T68" s="81"/>
      <c r="U68" s="21"/>
      <c r="V68" s="10"/>
      <c r="W68" s="81"/>
      <c r="X68" s="22"/>
      <c r="Y68" s="12"/>
      <c r="Z68" s="81"/>
      <c r="AA68" s="21"/>
      <c r="AB68" s="10"/>
      <c r="AC68" s="81"/>
      <c r="AD68" s="22"/>
      <c r="AE68" s="12"/>
      <c r="AF68" s="81"/>
      <c r="AG68" s="21"/>
      <c r="AH68" s="10"/>
      <c r="AI68" s="81"/>
      <c r="AJ68" s="23"/>
    </row>
    <row r="69" spans="1:36" ht="15.6">
      <c r="A69" s="8"/>
      <c r="B69" s="81"/>
      <c r="C69" s="21"/>
      <c r="D69" s="10"/>
      <c r="E69" s="81"/>
      <c r="F69" s="22"/>
      <c r="G69" s="12"/>
      <c r="H69" s="81"/>
      <c r="I69" s="21"/>
      <c r="J69" s="10"/>
      <c r="K69" s="81"/>
      <c r="L69" s="22"/>
      <c r="M69" s="12"/>
      <c r="N69" s="81"/>
      <c r="O69" s="21"/>
      <c r="P69" s="10"/>
      <c r="Q69" s="81"/>
      <c r="R69" s="22"/>
      <c r="S69" s="12"/>
      <c r="T69" s="81"/>
      <c r="U69" s="21"/>
      <c r="V69" s="10"/>
      <c r="W69" s="81"/>
      <c r="X69" s="22"/>
      <c r="Y69" s="12"/>
      <c r="Z69" s="81"/>
      <c r="AA69" s="21"/>
      <c r="AB69" s="10"/>
      <c r="AC69" s="81"/>
      <c r="AD69" s="22"/>
      <c r="AE69" s="12"/>
      <c r="AF69" s="81"/>
      <c r="AG69" s="21"/>
      <c r="AH69" s="10"/>
      <c r="AI69" s="81"/>
      <c r="AJ69" s="23"/>
    </row>
    <row r="70" spans="1:36" ht="15.6">
      <c r="A70" s="8"/>
      <c r="B70" s="81"/>
      <c r="C70" s="21"/>
      <c r="D70" s="10"/>
      <c r="E70" s="81"/>
      <c r="F70" s="22"/>
      <c r="G70" s="12"/>
      <c r="H70" s="81"/>
      <c r="I70" s="21"/>
      <c r="J70" s="10"/>
      <c r="K70" s="81"/>
      <c r="L70" s="22"/>
      <c r="M70" s="12"/>
      <c r="N70" s="81"/>
      <c r="O70" s="21"/>
      <c r="P70" s="10"/>
      <c r="Q70" s="81"/>
      <c r="R70" s="22"/>
      <c r="S70" s="12"/>
      <c r="T70" s="81"/>
      <c r="U70" s="21"/>
      <c r="V70" s="10"/>
      <c r="W70" s="81"/>
      <c r="X70" s="22"/>
      <c r="Y70" s="12"/>
      <c r="Z70" s="81"/>
      <c r="AA70" s="21"/>
      <c r="AB70" s="10"/>
      <c r="AC70" s="81"/>
      <c r="AD70" s="22"/>
      <c r="AE70" s="12"/>
      <c r="AF70" s="81"/>
      <c r="AG70" s="21"/>
      <c r="AH70" s="10"/>
      <c r="AI70" s="81"/>
      <c r="AJ70" s="23"/>
    </row>
    <row r="71" spans="1:36" ht="15.6">
      <c r="A71" s="8"/>
      <c r="B71" s="81"/>
      <c r="C71" s="21"/>
      <c r="D71" s="10"/>
      <c r="E71" s="81"/>
      <c r="F71" s="22"/>
      <c r="G71" s="12"/>
      <c r="H71" s="81"/>
      <c r="I71" s="21"/>
      <c r="J71" s="10"/>
      <c r="K71" s="81"/>
      <c r="L71" s="22"/>
      <c r="M71" s="12"/>
      <c r="N71" s="81"/>
      <c r="O71" s="21"/>
      <c r="P71" s="10"/>
      <c r="Q71" s="81"/>
      <c r="R71" s="22"/>
      <c r="S71" s="12"/>
      <c r="T71" s="81"/>
      <c r="U71" s="21"/>
      <c r="V71" s="10"/>
      <c r="W71" s="81"/>
      <c r="X71" s="22"/>
      <c r="Y71" s="12"/>
      <c r="Z71" s="81"/>
      <c r="AA71" s="21"/>
      <c r="AB71" s="10"/>
      <c r="AC71" s="81"/>
      <c r="AD71" s="22"/>
      <c r="AE71" s="12"/>
      <c r="AF71" s="81"/>
      <c r="AG71" s="21"/>
      <c r="AH71" s="10"/>
      <c r="AI71" s="81"/>
      <c r="AJ71" s="23"/>
    </row>
    <row r="72" spans="1:36" ht="15.6">
      <c r="A72" s="8"/>
      <c r="B72" s="81"/>
      <c r="C72" s="21"/>
      <c r="D72" s="10"/>
      <c r="E72" s="81"/>
      <c r="F72" s="22"/>
      <c r="G72" s="12"/>
      <c r="H72" s="81"/>
      <c r="I72" s="21"/>
      <c r="J72" s="10"/>
      <c r="K72" s="81"/>
      <c r="L72" s="22"/>
      <c r="M72" s="12"/>
      <c r="N72" s="81"/>
      <c r="O72" s="21"/>
      <c r="P72" s="10"/>
      <c r="Q72" s="81"/>
      <c r="R72" s="22"/>
      <c r="S72" s="12"/>
      <c r="T72" s="81"/>
      <c r="U72" s="21"/>
      <c r="V72" s="10"/>
      <c r="W72" s="81"/>
      <c r="X72" s="22"/>
      <c r="Y72" s="12"/>
      <c r="Z72" s="81"/>
      <c r="AA72" s="21"/>
      <c r="AB72" s="10"/>
      <c r="AC72" s="81"/>
      <c r="AD72" s="22"/>
      <c r="AE72" s="12"/>
      <c r="AF72" s="81"/>
      <c r="AG72" s="21"/>
      <c r="AH72" s="10"/>
      <c r="AI72" s="81"/>
      <c r="AJ72" s="23"/>
    </row>
    <row r="73" spans="1:36" ht="15.6">
      <c r="A73" s="8"/>
      <c r="B73" s="81"/>
      <c r="C73" s="21"/>
      <c r="D73" s="10"/>
      <c r="E73" s="81"/>
      <c r="F73" s="22"/>
      <c r="G73" s="12"/>
      <c r="H73" s="81"/>
      <c r="I73" s="21"/>
      <c r="J73" s="10"/>
      <c r="K73" s="81"/>
      <c r="L73" s="22"/>
      <c r="M73" s="12"/>
      <c r="N73" s="81"/>
      <c r="O73" s="21"/>
      <c r="P73" s="10"/>
      <c r="Q73" s="81"/>
      <c r="R73" s="22"/>
      <c r="S73" s="12"/>
      <c r="T73" s="81"/>
      <c r="U73" s="21"/>
      <c r="V73" s="10"/>
      <c r="W73" s="81"/>
      <c r="X73" s="22"/>
      <c r="Y73" s="12"/>
      <c r="Z73" s="81"/>
      <c r="AA73" s="21"/>
      <c r="AB73" s="10"/>
      <c r="AC73" s="81"/>
      <c r="AD73" s="22"/>
      <c r="AE73" s="12"/>
      <c r="AF73" s="81"/>
      <c r="AG73" s="21"/>
      <c r="AH73" s="10"/>
      <c r="AI73" s="81"/>
      <c r="AJ73" s="23"/>
    </row>
    <row r="74" spans="1:36" ht="15.6">
      <c r="A74" s="8"/>
      <c r="B74" s="81"/>
      <c r="C74" s="21"/>
      <c r="D74" s="10"/>
      <c r="E74" s="81"/>
      <c r="F74" s="22"/>
      <c r="G74" s="12"/>
      <c r="H74" s="81"/>
      <c r="I74" s="21"/>
      <c r="J74" s="10"/>
      <c r="K74" s="81"/>
      <c r="L74" s="22"/>
      <c r="M74" s="12"/>
      <c r="N74" s="81"/>
      <c r="O74" s="21"/>
      <c r="P74" s="10"/>
      <c r="Q74" s="81"/>
      <c r="R74" s="22"/>
      <c r="S74" s="12"/>
      <c r="T74" s="81"/>
      <c r="U74" s="21"/>
      <c r="V74" s="10"/>
      <c r="W74" s="81"/>
      <c r="X74" s="22"/>
      <c r="Y74" s="12"/>
      <c r="Z74" s="81"/>
      <c r="AA74" s="21"/>
      <c r="AB74" s="10"/>
      <c r="AC74" s="81"/>
      <c r="AD74" s="22"/>
      <c r="AE74" s="12"/>
      <c r="AF74" s="81"/>
      <c r="AG74" s="21"/>
      <c r="AH74" s="10"/>
      <c r="AI74" s="81"/>
      <c r="AJ74" s="23"/>
    </row>
    <row r="75" spans="1:36" ht="15.6">
      <c r="A75" s="8"/>
      <c r="B75" s="81"/>
      <c r="C75" s="21"/>
      <c r="D75" s="10"/>
      <c r="E75" s="81"/>
      <c r="F75" s="22"/>
      <c r="G75" s="12"/>
      <c r="H75" s="81"/>
      <c r="I75" s="21"/>
      <c r="J75" s="10"/>
      <c r="K75" s="81"/>
      <c r="L75" s="22"/>
      <c r="M75" s="12"/>
      <c r="N75" s="81"/>
      <c r="O75" s="21"/>
      <c r="P75" s="10"/>
      <c r="Q75" s="81"/>
      <c r="R75" s="22"/>
      <c r="S75" s="12"/>
      <c r="T75" s="81"/>
      <c r="U75" s="21"/>
      <c r="V75" s="10"/>
      <c r="W75" s="81"/>
      <c r="X75" s="22"/>
      <c r="Y75" s="12"/>
      <c r="Z75" s="81"/>
      <c r="AA75" s="21"/>
      <c r="AB75" s="10"/>
      <c r="AC75" s="81"/>
      <c r="AD75" s="22"/>
      <c r="AE75" s="12"/>
      <c r="AF75" s="81"/>
      <c r="AG75" s="21"/>
      <c r="AH75" s="10"/>
      <c r="AI75" s="81"/>
      <c r="AJ75" s="23"/>
    </row>
    <row r="76" spans="1:36" ht="15.6">
      <c r="A76" s="8"/>
      <c r="B76" s="81"/>
      <c r="C76" s="21"/>
      <c r="D76" s="10"/>
      <c r="E76" s="81"/>
      <c r="F76" s="22"/>
      <c r="G76" s="12"/>
      <c r="H76" s="81"/>
      <c r="I76" s="21"/>
      <c r="J76" s="10"/>
      <c r="K76" s="81"/>
      <c r="L76" s="22"/>
      <c r="M76" s="12"/>
      <c r="N76" s="81"/>
      <c r="O76" s="21"/>
      <c r="P76" s="10"/>
      <c r="Q76" s="81"/>
      <c r="R76" s="22"/>
      <c r="S76" s="12"/>
      <c r="T76" s="81"/>
      <c r="U76" s="21"/>
      <c r="V76" s="10"/>
      <c r="W76" s="81"/>
      <c r="X76" s="22"/>
      <c r="Y76" s="12"/>
      <c r="Z76" s="81"/>
      <c r="AA76" s="21"/>
      <c r="AB76" s="10"/>
      <c r="AC76" s="81"/>
      <c r="AD76" s="22"/>
      <c r="AE76" s="12"/>
      <c r="AF76" s="81"/>
      <c r="AG76" s="21"/>
      <c r="AH76" s="10"/>
      <c r="AI76" s="81"/>
      <c r="AJ76" s="23"/>
    </row>
    <row r="77" spans="1:36" ht="15.6">
      <c r="A77" s="8"/>
      <c r="B77" s="81"/>
      <c r="C77" s="21"/>
      <c r="D77" s="10"/>
      <c r="E77" s="81"/>
      <c r="F77" s="22"/>
      <c r="G77" s="12"/>
      <c r="H77" s="81"/>
      <c r="I77" s="21"/>
      <c r="J77" s="10"/>
      <c r="K77" s="81"/>
      <c r="L77" s="22"/>
      <c r="M77" s="12"/>
      <c r="N77" s="81"/>
      <c r="O77" s="21"/>
      <c r="P77" s="10"/>
      <c r="Q77" s="81"/>
      <c r="R77" s="22"/>
      <c r="S77" s="12"/>
      <c r="T77" s="81"/>
      <c r="U77" s="21"/>
      <c r="V77" s="10"/>
      <c r="W77" s="81"/>
      <c r="X77" s="22"/>
      <c r="Y77" s="12"/>
      <c r="Z77" s="81"/>
      <c r="AA77" s="21"/>
      <c r="AB77" s="10"/>
      <c r="AC77" s="81"/>
      <c r="AD77" s="22"/>
      <c r="AE77" s="12"/>
      <c r="AF77" s="81"/>
      <c r="AG77" s="21"/>
      <c r="AH77" s="10"/>
      <c r="AI77" s="81"/>
      <c r="AJ77" s="23"/>
    </row>
    <row r="78" spans="1:36" ht="15.6">
      <c r="A78" s="8"/>
      <c r="B78" s="81"/>
      <c r="C78" s="21"/>
      <c r="D78" s="10"/>
      <c r="E78" s="81"/>
      <c r="F78" s="22"/>
      <c r="G78" s="12"/>
      <c r="H78" s="81"/>
      <c r="I78" s="21"/>
      <c r="J78" s="10"/>
      <c r="K78" s="81"/>
      <c r="L78" s="22"/>
      <c r="M78" s="12"/>
      <c r="N78" s="81"/>
      <c r="O78" s="21"/>
      <c r="P78" s="10"/>
      <c r="Q78" s="81"/>
      <c r="R78" s="22"/>
      <c r="S78" s="12"/>
      <c r="T78" s="81"/>
      <c r="U78" s="21"/>
      <c r="V78" s="10"/>
      <c r="W78" s="81"/>
      <c r="X78" s="22"/>
      <c r="Y78" s="12"/>
      <c r="Z78" s="81"/>
      <c r="AA78" s="21"/>
      <c r="AB78" s="10"/>
      <c r="AC78" s="81"/>
      <c r="AD78" s="22"/>
      <c r="AE78" s="12"/>
      <c r="AF78" s="81"/>
      <c r="AG78" s="21"/>
      <c r="AH78" s="10"/>
      <c r="AI78" s="81"/>
      <c r="AJ78" s="23"/>
    </row>
    <row r="79" spans="1:36" ht="15.6">
      <c r="A79" s="8"/>
      <c r="B79" s="81"/>
      <c r="C79" s="21"/>
      <c r="D79" s="10"/>
      <c r="E79" s="81"/>
      <c r="F79" s="22"/>
      <c r="G79" s="12"/>
      <c r="H79" s="81"/>
      <c r="I79" s="21"/>
      <c r="J79" s="10"/>
      <c r="K79" s="81"/>
      <c r="L79" s="22"/>
      <c r="M79" s="12"/>
      <c r="N79" s="81"/>
      <c r="O79" s="21"/>
      <c r="P79" s="10"/>
      <c r="Q79" s="81"/>
      <c r="R79" s="22"/>
      <c r="S79" s="12"/>
      <c r="T79" s="81"/>
      <c r="U79" s="21"/>
      <c r="V79" s="10"/>
      <c r="W79" s="81"/>
      <c r="X79" s="22"/>
      <c r="Y79" s="12"/>
      <c r="Z79" s="81"/>
      <c r="AA79" s="21"/>
      <c r="AB79" s="10"/>
      <c r="AC79" s="81"/>
      <c r="AD79" s="22"/>
      <c r="AE79" s="12"/>
      <c r="AF79" s="81"/>
      <c r="AG79" s="21"/>
      <c r="AH79" s="10"/>
      <c r="AI79" s="81"/>
      <c r="AJ79" s="23"/>
    </row>
    <row r="80" spans="1:36" ht="15.6">
      <c r="A80" s="8"/>
      <c r="B80" s="81"/>
      <c r="C80" s="21"/>
      <c r="D80" s="10"/>
      <c r="E80" s="81"/>
      <c r="F80" s="22"/>
      <c r="G80" s="12"/>
      <c r="H80" s="81"/>
      <c r="I80" s="21"/>
      <c r="J80" s="10"/>
      <c r="K80" s="81"/>
      <c r="L80" s="22"/>
      <c r="M80" s="12"/>
      <c r="N80" s="81"/>
      <c r="O80" s="21"/>
      <c r="P80" s="10"/>
      <c r="Q80" s="81"/>
      <c r="R80" s="22"/>
      <c r="S80" s="12"/>
      <c r="T80" s="81"/>
      <c r="U80" s="21"/>
      <c r="V80" s="10"/>
      <c r="W80" s="81"/>
      <c r="X80" s="22"/>
      <c r="Y80" s="12"/>
      <c r="Z80" s="81"/>
      <c r="AA80" s="21"/>
      <c r="AB80" s="10"/>
      <c r="AC80" s="81"/>
      <c r="AD80" s="22"/>
      <c r="AE80" s="12"/>
      <c r="AF80" s="81"/>
      <c r="AG80" s="21"/>
      <c r="AH80" s="10"/>
      <c r="AI80" s="81"/>
      <c r="AJ80" s="23"/>
    </row>
    <row r="81" spans="1:36" ht="15.6">
      <c r="A81" s="8"/>
      <c r="B81" s="81"/>
      <c r="C81" s="21"/>
      <c r="D81" s="10"/>
      <c r="E81" s="81"/>
      <c r="F81" s="22"/>
      <c r="G81" s="12"/>
      <c r="H81" s="81"/>
      <c r="I81" s="21"/>
      <c r="J81" s="10"/>
      <c r="K81" s="81"/>
      <c r="L81" s="22"/>
      <c r="M81" s="12"/>
      <c r="N81" s="81"/>
      <c r="O81" s="21"/>
      <c r="P81" s="10"/>
      <c r="Q81" s="81"/>
      <c r="R81" s="22"/>
      <c r="S81" s="12"/>
      <c r="T81" s="81"/>
      <c r="U81" s="21"/>
      <c r="V81" s="10"/>
      <c r="W81" s="81"/>
      <c r="X81" s="22"/>
      <c r="Y81" s="12"/>
      <c r="Z81" s="81"/>
      <c r="AA81" s="21"/>
      <c r="AB81" s="10"/>
      <c r="AC81" s="81"/>
      <c r="AD81" s="22"/>
      <c r="AE81" s="12"/>
      <c r="AF81" s="81"/>
      <c r="AG81" s="21"/>
      <c r="AH81" s="10"/>
      <c r="AI81" s="81"/>
      <c r="AJ81" s="23"/>
    </row>
    <row r="82" spans="1:36" ht="15.6">
      <c r="A82" s="8"/>
      <c r="B82" s="81"/>
      <c r="C82" s="21"/>
      <c r="D82" s="10"/>
      <c r="E82" s="81"/>
      <c r="F82" s="22"/>
      <c r="G82" s="12"/>
      <c r="H82" s="81"/>
      <c r="I82" s="21"/>
      <c r="J82" s="10"/>
      <c r="K82" s="81"/>
      <c r="L82" s="22"/>
      <c r="M82" s="12"/>
      <c r="N82" s="81"/>
      <c r="O82" s="21"/>
      <c r="P82" s="10"/>
      <c r="Q82" s="81"/>
      <c r="R82" s="22"/>
      <c r="S82" s="12"/>
      <c r="T82" s="81"/>
      <c r="U82" s="21"/>
      <c r="V82" s="10"/>
      <c r="W82" s="81"/>
      <c r="X82" s="22"/>
      <c r="Y82" s="12"/>
      <c r="Z82" s="81"/>
      <c r="AA82" s="21"/>
      <c r="AB82" s="10"/>
      <c r="AC82" s="81"/>
      <c r="AD82" s="22"/>
      <c r="AE82" s="12"/>
      <c r="AF82" s="81"/>
      <c r="AG82" s="21"/>
      <c r="AH82" s="10"/>
      <c r="AI82" s="81"/>
      <c r="AJ82" s="23"/>
    </row>
    <row r="83" spans="1:36" ht="15.6">
      <c r="A83" s="8"/>
      <c r="B83" s="81"/>
      <c r="C83" s="21"/>
      <c r="D83" s="10"/>
      <c r="E83" s="81"/>
      <c r="F83" s="22"/>
      <c r="G83" s="12"/>
      <c r="H83" s="81"/>
      <c r="I83" s="21"/>
      <c r="J83" s="10"/>
      <c r="K83" s="81"/>
      <c r="L83" s="22"/>
      <c r="M83" s="12"/>
      <c r="N83" s="81"/>
      <c r="O83" s="21"/>
      <c r="P83" s="10"/>
      <c r="Q83" s="81"/>
      <c r="R83" s="22"/>
      <c r="S83" s="12"/>
      <c r="T83" s="81"/>
      <c r="U83" s="21"/>
      <c r="V83" s="10"/>
      <c r="W83" s="81"/>
      <c r="X83" s="22"/>
      <c r="Y83" s="12"/>
      <c r="Z83" s="81"/>
      <c r="AA83" s="21"/>
      <c r="AB83" s="10"/>
      <c r="AC83" s="81"/>
      <c r="AD83" s="22"/>
      <c r="AE83" s="12"/>
      <c r="AF83" s="81"/>
      <c r="AG83" s="21"/>
      <c r="AH83" s="10"/>
      <c r="AI83" s="81"/>
      <c r="AJ83" s="23"/>
    </row>
    <row r="84" spans="1:36" ht="15.6">
      <c r="A84" s="8"/>
      <c r="B84" s="81"/>
      <c r="C84" s="21"/>
      <c r="D84" s="10"/>
      <c r="E84" s="81"/>
      <c r="F84" s="22"/>
      <c r="G84" s="12"/>
      <c r="H84" s="81"/>
      <c r="I84" s="21"/>
      <c r="J84" s="10"/>
      <c r="K84" s="81"/>
      <c r="L84" s="22"/>
      <c r="M84" s="12"/>
      <c r="N84" s="81"/>
      <c r="O84" s="21"/>
      <c r="P84" s="10"/>
      <c r="Q84" s="81"/>
      <c r="R84" s="22"/>
      <c r="S84" s="12"/>
      <c r="T84" s="81"/>
      <c r="U84" s="21"/>
      <c r="V84" s="10"/>
      <c r="W84" s="81"/>
      <c r="X84" s="22"/>
      <c r="Y84" s="12"/>
      <c r="Z84" s="81"/>
      <c r="AA84" s="21"/>
      <c r="AB84" s="10"/>
      <c r="AC84" s="81"/>
      <c r="AD84" s="22"/>
      <c r="AE84" s="12"/>
      <c r="AF84" s="81"/>
      <c r="AG84" s="21"/>
      <c r="AH84" s="10"/>
      <c r="AI84" s="81"/>
      <c r="AJ84" s="23"/>
    </row>
    <row r="85" spans="1:36" ht="15.6">
      <c r="A85" s="8"/>
      <c r="B85" s="81"/>
      <c r="C85" s="21"/>
      <c r="D85" s="10"/>
      <c r="E85" s="81"/>
      <c r="F85" s="22"/>
      <c r="G85" s="12"/>
      <c r="H85" s="81"/>
      <c r="I85" s="21"/>
      <c r="J85" s="10"/>
      <c r="K85" s="81"/>
      <c r="L85" s="22"/>
      <c r="M85" s="12"/>
      <c r="N85" s="81"/>
      <c r="O85" s="21"/>
      <c r="P85" s="10"/>
      <c r="Q85" s="81"/>
      <c r="R85" s="22"/>
      <c r="S85" s="12"/>
      <c r="T85" s="81"/>
      <c r="U85" s="21"/>
      <c r="V85" s="10"/>
      <c r="W85" s="81"/>
      <c r="X85" s="22"/>
      <c r="Y85" s="12"/>
      <c r="Z85" s="81"/>
      <c r="AA85" s="21"/>
      <c r="AB85" s="10"/>
      <c r="AC85" s="81"/>
      <c r="AD85" s="22"/>
      <c r="AE85" s="12"/>
      <c r="AF85" s="81"/>
      <c r="AG85" s="21"/>
      <c r="AH85" s="10"/>
      <c r="AI85" s="81"/>
      <c r="AJ85" s="23"/>
    </row>
    <row r="86" spans="1:36" ht="15.6">
      <c r="A86" s="8"/>
      <c r="B86" s="81"/>
      <c r="C86" s="21"/>
      <c r="D86" s="10"/>
      <c r="E86" s="81"/>
      <c r="F86" s="22"/>
      <c r="G86" s="12"/>
      <c r="H86" s="81"/>
      <c r="I86" s="21"/>
      <c r="J86" s="10"/>
      <c r="K86" s="81"/>
      <c r="L86" s="22"/>
      <c r="M86" s="12"/>
      <c r="N86" s="81"/>
      <c r="O86" s="21"/>
      <c r="P86" s="10"/>
      <c r="Q86" s="81"/>
      <c r="R86" s="22"/>
      <c r="S86" s="12"/>
      <c r="T86" s="81"/>
      <c r="U86" s="21"/>
      <c r="V86" s="10"/>
      <c r="W86" s="81"/>
      <c r="X86" s="22"/>
      <c r="Y86" s="12"/>
      <c r="Z86" s="81"/>
      <c r="AA86" s="21"/>
      <c r="AB86" s="10"/>
      <c r="AC86" s="81"/>
      <c r="AD86" s="22"/>
      <c r="AE86" s="12"/>
      <c r="AF86" s="81"/>
      <c r="AG86" s="21"/>
      <c r="AH86" s="10"/>
      <c r="AI86" s="81"/>
      <c r="AJ86" s="23"/>
    </row>
    <row r="87" spans="1:36" ht="15.6">
      <c r="A87" s="8"/>
      <c r="B87" s="81"/>
      <c r="C87" s="21"/>
      <c r="D87" s="10"/>
      <c r="E87" s="81"/>
      <c r="F87" s="22"/>
      <c r="G87" s="12"/>
      <c r="H87" s="81"/>
      <c r="I87" s="21"/>
      <c r="J87" s="10"/>
      <c r="K87" s="81"/>
      <c r="L87" s="22"/>
      <c r="M87" s="12"/>
      <c r="N87" s="81"/>
      <c r="O87" s="21"/>
      <c r="P87" s="10"/>
      <c r="Q87" s="81"/>
      <c r="R87" s="22"/>
      <c r="S87" s="12"/>
      <c r="T87" s="81"/>
      <c r="U87" s="21"/>
      <c r="V87" s="10"/>
      <c r="W87" s="81"/>
      <c r="X87" s="22"/>
      <c r="Y87" s="12"/>
      <c r="Z87" s="81"/>
      <c r="AA87" s="21"/>
      <c r="AB87" s="10"/>
      <c r="AC87" s="81"/>
      <c r="AD87" s="22"/>
      <c r="AE87" s="12"/>
      <c r="AF87" s="81"/>
      <c r="AG87" s="21"/>
      <c r="AH87" s="10"/>
      <c r="AI87" s="81"/>
      <c r="AJ87" s="23"/>
    </row>
    <row r="88" spans="1:36" ht="15.6">
      <c r="A88" s="8"/>
      <c r="B88" s="81"/>
      <c r="C88" s="21"/>
      <c r="D88" s="10"/>
      <c r="E88" s="81"/>
      <c r="F88" s="22"/>
      <c r="G88" s="12"/>
      <c r="H88" s="81"/>
      <c r="I88" s="21"/>
      <c r="J88" s="10"/>
      <c r="K88" s="81"/>
      <c r="L88" s="22"/>
      <c r="M88" s="12"/>
      <c r="N88" s="81"/>
      <c r="O88" s="21"/>
      <c r="P88" s="10"/>
      <c r="Q88" s="81"/>
      <c r="R88" s="22"/>
      <c r="S88" s="12"/>
      <c r="T88" s="81"/>
      <c r="U88" s="21"/>
      <c r="V88" s="10"/>
      <c r="W88" s="81"/>
      <c r="X88" s="22"/>
      <c r="Y88" s="12"/>
      <c r="Z88" s="81"/>
      <c r="AA88" s="21"/>
      <c r="AB88" s="10"/>
      <c r="AC88" s="81"/>
      <c r="AD88" s="22"/>
      <c r="AE88" s="12"/>
      <c r="AF88" s="81"/>
      <c r="AG88" s="21"/>
      <c r="AH88" s="10"/>
      <c r="AI88" s="81"/>
      <c r="AJ88" s="23"/>
    </row>
    <row r="89" spans="1:36" ht="15.6">
      <c r="A89" s="8"/>
      <c r="B89" s="81"/>
      <c r="C89" s="21"/>
      <c r="D89" s="10"/>
      <c r="E89" s="81"/>
      <c r="F89" s="22"/>
      <c r="G89" s="12"/>
      <c r="H89" s="81"/>
      <c r="I89" s="21"/>
      <c r="J89" s="10"/>
      <c r="K89" s="81"/>
      <c r="L89" s="22"/>
      <c r="M89" s="12"/>
      <c r="N89" s="81"/>
      <c r="O89" s="21"/>
      <c r="P89" s="10"/>
      <c r="Q89" s="81"/>
      <c r="R89" s="22"/>
      <c r="S89" s="12"/>
      <c r="T89" s="81"/>
      <c r="U89" s="21"/>
      <c r="V89" s="10"/>
      <c r="W89" s="81"/>
      <c r="X89" s="22"/>
      <c r="Y89" s="12"/>
      <c r="Z89" s="81"/>
      <c r="AA89" s="21"/>
      <c r="AB89" s="10"/>
      <c r="AC89" s="81"/>
      <c r="AD89" s="22"/>
      <c r="AE89" s="12"/>
      <c r="AF89" s="81"/>
      <c r="AG89" s="21"/>
      <c r="AH89" s="10"/>
      <c r="AI89" s="81"/>
      <c r="AJ89" s="23"/>
    </row>
    <row r="90" spans="1:36" ht="15.6">
      <c r="A90" s="8"/>
      <c r="B90" s="81"/>
      <c r="C90" s="21"/>
      <c r="D90" s="10"/>
      <c r="E90" s="81"/>
      <c r="F90" s="22"/>
      <c r="G90" s="12"/>
      <c r="H90" s="81"/>
      <c r="I90" s="21"/>
      <c r="J90" s="10"/>
      <c r="K90" s="81"/>
      <c r="L90" s="22"/>
      <c r="M90" s="12"/>
      <c r="N90" s="81"/>
      <c r="O90" s="21"/>
      <c r="P90" s="10"/>
      <c r="Q90" s="81"/>
      <c r="R90" s="22"/>
      <c r="S90" s="12"/>
      <c r="T90" s="81"/>
      <c r="U90" s="21"/>
      <c r="V90" s="10"/>
      <c r="W90" s="81"/>
      <c r="X90" s="22"/>
      <c r="Y90" s="12"/>
      <c r="Z90" s="81"/>
      <c r="AA90" s="21"/>
      <c r="AB90" s="10"/>
      <c r="AC90" s="81"/>
      <c r="AD90" s="22"/>
      <c r="AE90" s="12"/>
      <c r="AF90" s="81"/>
      <c r="AG90" s="21"/>
      <c r="AH90" s="10"/>
      <c r="AI90" s="81"/>
      <c r="AJ90" s="23"/>
    </row>
    <row r="91" spans="1:36" ht="15.6">
      <c r="A91" s="8"/>
      <c r="B91" s="81"/>
      <c r="C91" s="21"/>
      <c r="D91" s="10"/>
      <c r="E91" s="81"/>
      <c r="F91" s="22"/>
      <c r="G91" s="12"/>
      <c r="H91" s="81"/>
      <c r="I91" s="21"/>
      <c r="J91" s="10"/>
      <c r="K91" s="81"/>
      <c r="L91" s="22"/>
      <c r="M91" s="12"/>
      <c r="N91" s="81"/>
      <c r="O91" s="21"/>
      <c r="P91" s="10"/>
      <c r="Q91" s="81"/>
      <c r="R91" s="22"/>
      <c r="S91" s="12"/>
      <c r="T91" s="81"/>
      <c r="U91" s="21"/>
      <c r="V91" s="10"/>
      <c r="W91" s="81"/>
      <c r="X91" s="22"/>
      <c r="Y91" s="12"/>
      <c r="Z91" s="81"/>
      <c r="AA91" s="21"/>
      <c r="AB91" s="10"/>
      <c r="AC91" s="81"/>
      <c r="AD91" s="22"/>
      <c r="AE91" s="12"/>
      <c r="AF91" s="81"/>
      <c r="AG91" s="21"/>
      <c r="AH91" s="10"/>
      <c r="AI91" s="81"/>
      <c r="AJ91" s="23"/>
    </row>
    <row r="92" spans="1:36" ht="15.6">
      <c r="A92" s="8"/>
      <c r="B92" s="81"/>
      <c r="C92" s="21"/>
      <c r="D92" s="10"/>
      <c r="E92" s="81"/>
      <c r="F92" s="22"/>
      <c r="G92" s="12"/>
      <c r="H92" s="81"/>
      <c r="I92" s="21"/>
      <c r="J92" s="10"/>
      <c r="K92" s="81"/>
      <c r="L92" s="22"/>
      <c r="M92" s="12"/>
      <c r="N92" s="81"/>
      <c r="O92" s="21"/>
      <c r="P92" s="10"/>
      <c r="Q92" s="81"/>
      <c r="R92" s="22"/>
      <c r="S92" s="12"/>
      <c r="T92" s="81"/>
      <c r="U92" s="21"/>
      <c r="V92" s="10"/>
      <c r="W92" s="81"/>
      <c r="X92" s="22"/>
      <c r="Y92" s="12"/>
      <c r="Z92" s="81"/>
      <c r="AA92" s="21"/>
      <c r="AB92" s="10"/>
      <c r="AC92" s="81"/>
      <c r="AD92" s="22"/>
      <c r="AE92" s="12"/>
      <c r="AF92" s="81"/>
      <c r="AG92" s="21"/>
      <c r="AH92" s="10"/>
      <c r="AI92" s="81"/>
      <c r="AJ92" s="23"/>
    </row>
    <row r="93" spans="1:36" ht="15.6">
      <c r="A93" s="8"/>
      <c r="B93" s="81"/>
      <c r="C93" s="21"/>
      <c r="D93" s="10"/>
      <c r="E93" s="81"/>
      <c r="F93" s="22"/>
      <c r="G93" s="12"/>
      <c r="H93" s="81"/>
      <c r="I93" s="21"/>
      <c r="J93" s="10"/>
      <c r="K93" s="81"/>
      <c r="L93" s="22"/>
      <c r="M93" s="12"/>
      <c r="N93" s="81"/>
      <c r="O93" s="21"/>
      <c r="P93" s="10"/>
      <c r="Q93" s="81"/>
      <c r="R93" s="22"/>
      <c r="S93" s="12"/>
      <c r="T93" s="81"/>
      <c r="U93" s="21"/>
      <c r="V93" s="10"/>
      <c r="W93" s="81"/>
      <c r="X93" s="22"/>
      <c r="Y93" s="12"/>
      <c r="Z93" s="81"/>
      <c r="AA93" s="21"/>
      <c r="AB93" s="10"/>
      <c r="AC93" s="81"/>
      <c r="AD93" s="22"/>
      <c r="AE93" s="12"/>
      <c r="AF93" s="81"/>
      <c r="AG93" s="21"/>
      <c r="AH93" s="10"/>
      <c r="AI93" s="81"/>
      <c r="AJ93" s="23"/>
    </row>
    <row r="94" spans="1:36" ht="15.6">
      <c r="A94" s="8"/>
      <c r="B94" s="81"/>
      <c r="C94" s="21"/>
      <c r="D94" s="10"/>
      <c r="E94" s="81"/>
      <c r="F94" s="22"/>
      <c r="G94" s="12"/>
      <c r="H94" s="81"/>
      <c r="I94" s="21"/>
      <c r="J94" s="10"/>
      <c r="K94" s="81"/>
      <c r="L94" s="22"/>
      <c r="M94" s="12"/>
      <c r="N94" s="81"/>
      <c r="O94" s="21"/>
      <c r="P94" s="10"/>
      <c r="Q94" s="81"/>
      <c r="R94" s="22"/>
      <c r="S94" s="12"/>
      <c r="T94" s="81"/>
      <c r="U94" s="21"/>
      <c r="V94" s="10"/>
      <c r="W94" s="81"/>
      <c r="X94" s="22"/>
      <c r="Y94" s="12"/>
      <c r="Z94" s="81"/>
      <c r="AA94" s="21"/>
      <c r="AB94" s="10"/>
      <c r="AC94" s="81"/>
      <c r="AD94" s="22"/>
      <c r="AE94" s="12"/>
      <c r="AF94" s="81"/>
      <c r="AG94" s="21"/>
      <c r="AH94" s="10"/>
      <c r="AI94" s="81"/>
      <c r="AJ94" s="23"/>
    </row>
    <row r="95" spans="1:36" ht="15.6">
      <c r="A95" s="8"/>
      <c r="B95" s="81"/>
      <c r="C95" s="21"/>
      <c r="D95" s="10"/>
      <c r="E95" s="81"/>
      <c r="F95" s="22"/>
      <c r="G95" s="12"/>
      <c r="H95" s="81"/>
      <c r="I95" s="21"/>
      <c r="J95" s="10"/>
      <c r="K95" s="81"/>
      <c r="L95" s="22"/>
      <c r="M95" s="12"/>
      <c r="N95" s="81"/>
      <c r="O95" s="21"/>
      <c r="P95" s="10"/>
      <c r="Q95" s="81"/>
      <c r="R95" s="22"/>
      <c r="S95" s="12"/>
      <c r="T95" s="81"/>
      <c r="U95" s="21"/>
      <c r="V95" s="10"/>
      <c r="W95" s="81"/>
      <c r="X95" s="22"/>
      <c r="Y95" s="12"/>
      <c r="Z95" s="81"/>
      <c r="AA95" s="21"/>
      <c r="AB95" s="10"/>
      <c r="AC95" s="81"/>
      <c r="AD95" s="22"/>
      <c r="AE95" s="12"/>
      <c r="AF95" s="81"/>
      <c r="AG95" s="21"/>
      <c r="AH95" s="10"/>
      <c r="AI95" s="81"/>
      <c r="AJ95" s="23"/>
    </row>
    <row r="96" spans="1:36" ht="15.6">
      <c r="A96" s="8"/>
      <c r="B96" s="81"/>
      <c r="C96" s="21"/>
      <c r="D96" s="10"/>
      <c r="E96" s="81"/>
      <c r="F96" s="22"/>
      <c r="G96" s="12"/>
      <c r="H96" s="81"/>
      <c r="I96" s="21"/>
      <c r="J96" s="10"/>
      <c r="K96" s="81"/>
      <c r="L96" s="22"/>
      <c r="M96" s="12"/>
      <c r="N96" s="81"/>
      <c r="O96" s="21"/>
      <c r="P96" s="10"/>
      <c r="Q96" s="81"/>
      <c r="R96" s="22"/>
      <c r="S96" s="12"/>
      <c r="T96" s="81"/>
      <c r="U96" s="21"/>
      <c r="V96" s="10"/>
      <c r="W96" s="81"/>
      <c r="X96" s="22"/>
      <c r="Y96" s="12"/>
      <c r="Z96" s="81"/>
      <c r="AA96" s="21"/>
      <c r="AB96" s="10"/>
      <c r="AC96" s="81"/>
      <c r="AD96" s="22"/>
      <c r="AE96" s="12"/>
      <c r="AF96" s="81"/>
      <c r="AG96" s="21"/>
      <c r="AH96" s="10"/>
      <c r="AI96" s="81"/>
      <c r="AJ96" s="23"/>
    </row>
    <row r="97" spans="1:36" ht="15.6">
      <c r="A97" s="8"/>
      <c r="B97" s="81"/>
      <c r="C97" s="21"/>
      <c r="D97" s="10"/>
      <c r="E97" s="81"/>
      <c r="F97" s="22"/>
      <c r="G97" s="12"/>
      <c r="H97" s="81"/>
      <c r="I97" s="21"/>
      <c r="J97" s="10"/>
      <c r="K97" s="81"/>
      <c r="L97" s="22"/>
      <c r="M97" s="12"/>
      <c r="N97" s="81"/>
      <c r="O97" s="21"/>
      <c r="P97" s="10"/>
      <c r="Q97" s="81"/>
      <c r="R97" s="22"/>
      <c r="S97" s="12"/>
      <c r="T97" s="81"/>
      <c r="U97" s="21"/>
      <c r="V97" s="10"/>
      <c r="W97" s="81"/>
      <c r="X97" s="22"/>
      <c r="Y97" s="12"/>
      <c r="Z97" s="81"/>
      <c r="AA97" s="21"/>
      <c r="AB97" s="10"/>
      <c r="AC97" s="81"/>
      <c r="AD97" s="22"/>
      <c r="AE97" s="12"/>
      <c r="AF97" s="81"/>
      <c r="AG97" s="21"/>
      <c r="AH97" s="10"/>
      <c r="AI97" s="81"/>
      <c r="AJ97" s="23"/>
    </row>
    <row r="98" spans="1:36" ht="15.6">
      <c r="A98" s="8"/>
      <c r="B98" s="81"/>
      <c r="C98" s="21"/>
      <c r="D98" s="10"/>
      <c r="E98" s="81"/>
      <c r="F98" s="22"/>
      <c r="G98" s="12"/>
      <c r="H98" s="81"/>
      <c r="I98" s="21"/>
      <c r="J98" s="10"/>
      <c r="K98" s="81"/>
      <c r="L98" s="22"/>
      <c r="M98" s="12"/>
      <c r="N98" s="81"/>
      <c r="O98" s="21"/>
      <c r="P98" s="10"/>
      <c r="Q98" s="81"/>
      <c r="R98" s="22"/>
      <c r="S98" s="12"/>
      <c r="T98" s="81"/>
      <c r="U98" s="21"/>
      <c r="V98" s="10"/>
      <c r="W98" s="81"/>
      <c r="X98" s="22"/>
      <c r="Y98" s="12"/>
      <c r="Z98" s="81"/>
      <c r="AA98" s="21"/>
      <c r="AB98" s="10"/>
      <c r="AC98" s="81"/>
      <c r="AD98" s="22"/>
      <c r="AE98" s="12"/>
      <c r="AF98" s="81"/>
      <c r="AG98" s="21"/>
      <c r="AH98" s="10"/>
      <c r="AI98" s="81"/>
      <c r="AJ98" s="23"/>
    </row>
    <row r="99" spans="1:36" ht="15.6">
      <c r="A99" s="8"/>
      <c r="B99" s="81"/>
      <c r="C99" s="21"/>
      <c r="D99" s="10"/>
      <c r="E99" s="81"/>
      <c r="F99" s="22"/>
      <c r="G99" s="12"/>
      <c r="H99" s="81"/>
      <c r="I99" s="21"/>
      <c r="J99" s="10"/>
      <c r="K99" s="81"/>
      <c r="L99" s="22"/>
      <c r="M99" s="12"/>
      <c r="N99" s="81"/>
      <c r="O99" s="21"/>
      <c r="P99" s="10"/>
      <c r="Q99" s="81"/>
      <c r="R99" s="22"/>
      <c r="S99" s="12"/>
      <c r="T99" s="81"/>
      <c r="U99" s="21"/>
      <c r="V99" s="10"/>
      <c r="W99" s="81"/>
      <c r="X99" s="22"/>
      <c r="Y99" s="12"/>
      <c r="Z99" s="81"/>
      <c r="AA99" s="21"/>
      <c r="AB99" s="10"/>
      <c r="AC99" s="81"/>
      <c r="AD99" s="22"/>
      <c r="AE99" s="12"/>
      <c r="AF99" s="81"/>
      <c r="AG99" s="21"/>
      <c r="AH99" s="10"/>
      <c r="AI99" s="81"/>
      <c r="AJ99" s="23"/>
    </row>
    <row r="100" spans="1:36" ht="15.6">
      <c r="A100" s="8"/>
      <c r="B100" s="81"/>
      <c r="C100" s="21"/>
      <c r="D100" s="10"/>
      <c r="E100" s="81"/>
      <c r="F100" s="22"/>
      <c r="G100" s="12"/>
      <c r="H100" s="81"/>
      <c r="I100" s="21"/>
      <c r="J100" s="10"/>
      <c r="K100" s="81"/>
      <c r="L100" s="22"/>
      <c r="M100" s="12"/>
      <c r="N100" s="81"/>
      <c r="O100" s="21"/>
      <c r="P100" s="10"/>
      <c r="Q100" s="81"/>
      <c r="R100" s="22"/>
      <c r="S100" s="12"/>
      <c r="T100" s="81"/>
      <c r="U100" s="21"/>
      <c r="V100" s="10"/>
      <c r="W100" s="81"/>
      <c r="X100" s="22"/>
      <c r="Y100" s="12"/>
      <c r="Z100" s="81"/>
      <c r="AA100" s="21"/>
      <c r="AB100" s="10"/>
      <c r="AC100" s="81"/>
      <c r="AD100" s="22"/>
      <c r="AE100" s="12"/>
      <c r="AF100" s="81"/>
      <c r="AG100" s="21"/>
      <c r="AH100" s="10"/>
      <c r="AI100" s="81"/>
      <c r="AJ100" s="23"/>
    </row>
    <row r="101" spans="1:36" ht="15.6">
      <c r="A101" s="8"/>
      <c r="B101" s="81"/>
      <c r="C101" s="21"/>
      <c r="D101" s="10"/>
      <c r="E101" s="81"/>
      <c r="F101" s="22"/>
      <c r="G101" s="12"/>
      <c r="H101" s="81"/>
      <c r="I101" s="21"/>
      <c r="J101" s="10"/>
      <c r="K101" s="81"/>
      <c r="L101" s="22"/>
      <c r="M101" s="12"/>
      <c r="N101" s="81"/>
      <c r="O101" s="21"/>
      <c r="P101" s="10"/>
      <c r="Q101" s="81"/>
      <c r="R101" s="22"/>
      <c r="S101" s="12"/>
      <c r="T101" s="81"/>
      <c r="U101" s="21"/>
      <c r="V101" s="10"/>
      <c r="W101" s="81"/>
      <c r="X101" s="22"/>
      <c r="Y101" s="12"/>
      <c r="Z101" s="81"/>
      <c r="AA101" s="21"/>
      <c r="AB101" s="10"/>
      <c r="AC101" s="81"/>
      <c r="AD101" s="22"/>
      <c r="AE101" s="12"/>
      <c r="AF101" s="81"/>
      <c r="AG101" s="21"/>
      <c r="AH101" s="10"/>
      <c r="AI101" s="81"/>
      <c r="AJ101" s="23"/>
    </row>
    <row r="102" spans="1:36" ht="15.6">
      <c r="A102" s="8"/>
      <c r="B102" s="81"/>
      <c r="C102" s="21"/>
      <c r="D102" s="10"/>
      <c r="E102" s="81"/>
      <c r="F102" s="22"/>
      <c r="G102" s="12"/>
      <c r="H102" s="81"/>
      <c r="I102" s="21"/>
      <c r="J102" s="10"/>
      <c r="K102" s="81"/>
      <c r="L102" s="22"/>
      <c r="M102" s="12"/>
      <c r="N102" s="81"/>
      <c r="O102" s="21"/>
      <c r="P102" s="10"/>
      <c r="Q102" s="81"/>
      <c r="R102" s="22"/>
      <c r="S102" s="12"/>
      <c r="T102" s="81"/>
      <c r="U102" s="21"/>
      <c r="V102" s="10"/>
      <c r="W102" s="81"/>
      <c r="X102" s="22"/>
      <c r="Y102" s="12"/>
      <c r="Z102" s="81"/>
      <c r="AA102" s="21"/>
      <c r="AB102" s="10"/>
      <c r="AC102" s="81"/>
      <c r="AD102" s="22"/>
      <c r="AE102" s="12"/>
      <c r="AF102" s="81"/>
      <c r="AG102" s="21"/>
      <c r="AH102" s="10"/>
      <c r="AI102" s="81"/>
      <c r="AJ102" s="23"/>
    </row>
    <row r="103" spans="1:36" ht="15.6">
      <c r="A103" s="8"/>
      <c r="B103" s="81"/>
      <c r="C103" s="21"/>
      <c r="D103" s="10"/>
      <c r="E103" s="81"/>
      <c r="F103" s="22"/>
      <c r="G103" s="12"/>
      <c r="H103" s="81"/>
      <c r="I103" s="21"/>
      <c r="J103" s="10"/>
      <c r="K103" s="81"/>
      <c r="L103" s="22"/>
      <c r="M103" s="12"/>
      <c r="N103" s="81"/>
      <c r="O103" s="21"/>
      <c r="P103" s="10"/>
      <c r="Q103" s="81"/>
      <c r="R103" s="22"/>
      <c r="S103" s="12"/>
      <c r="T103" s="81"/>
      <c r="U103" s="21"/>
      <c r="V103" s="10"/>
      <c r="W103" s="81"/>
      <c r="X103" s="22"/>
      <c r="Y103" s="12"/>
      <c r="Z103" s="81"/>
      <c r="AA103" s="21"/>
      <c r="AB103" s="10"/>
      <c r="AC103" s="81"/>
      <c r="AD103" s="22"/>
      <c r="AE103" s="12"/>
      <c r="AF103" s="81"/>
      <c r="AG103" s="21"/>
      <c r="AH103" s="10"/>
      <c r="AI103" s="81"/>
      <c r="AJ103" s="23"/>
    </row>
    <row r="104" spans="1:36" ht="15.6">
      <c r="A104" s="8"/>
      <c r="B104" s="81"/>
      <c r="C104" s="21"/>
      <c r="D104" s="10"/>
      <c r="E104" s="81"/>
      <c r="F104" s="22"/>
      <c r="G104" s="12"/>
      <c r="H104" s="81"/>
      <c r="I104" s="21"/>
      <c r="J104" s="10"/>
      <c r="K104" s="81"/>
      <c r="L104" s="22"/>
      <c r="M104" s="12"/>
      <c r="N104" s="81"/>
      <c r="O104" s="21"/>
      <c r="P104" s="10"/>
      <c r="Q104" s="81"/>
      <c r="R104" s="22"/>
      <c r="S104" s="12"/>
      <c r="T104" s="81"/>
      <c r="U104" s="21"/>
      <c r="V104" s="10"/>
      <c r="W104" s="81"/>
      <c r="X104" s="22"/>
      <c r="Y104" s="12"/>
      <c r="Z104" s="81"/>
      <c r="AA104" s="21"/>
      <c r="AB104" s="10"/>
      <c r="AC104" s="81"/>
      <c r="AD104" s="22"/>
      <c r="AE104" s="12"/>
      <c r="AF104" s="81"/>
      <c r="AG104" s="21"/>
      <c r="AH104" s="10"/>
      <c r="AI104" s="81"/>
      <c r="AJ104" s="23"/>
    </row>
    <row r="105" spans="1:36" ht="15.6">
      <c r="A105" s="8"/>
      <c r="B105" s="81"/>
      <c r="C105" s="21"/>
      <c r="D105" s="10"/>
      <c r="E105" s="81"/>
      <c r="F105" s="22"/>
      <c r="G105" s="12"/>
      <c r="H105" s="81"/>
      <c r="I105" s="21"/>
      <c r="J105" s="10"/>
      <c r="K105" s="81"/>
      <c r="L105" s="22"/>
      <c r="M105" s="12"/>
      <c r="N105" s="81"/>
      <c r="O105" s="21"/>
      <c r="P105" s="10"/>
      <c r="Q105" s="81"/>
      <c r="R105" s="22"/>
      <c r="S105" s="12"/>
      <c r="T105" s="81"/>
      <c r="U105" s="21"/>
      <c r="V105" s="10"/>
      <c r="W105" s="81"/>
      <c r="X105" s="22"/>
      <c r="Y105" s="12"/>
      <c r="Z105" s="81"/>
      <c r="AA105" s="21"/>
      <c r="AB105" s="10"/>
      <c r="AC105" s="81"/>
      <c r="AD105" s="22"/>
      <c r="AE105" s="12"/>
      <c r="AF105" s="81"/>
      <c r="AG105" s="21"/>
      <c r="AH105" s="10"/>
      <c r="AI105" s="81"/>
      <c r="AJ105" s="23"/>
    </row>
    <row r="106" spans="1:36" ht="15.6">
      <c r="A106" s="8"/>
      <c r="B106" s="81"/>
      <c r="C106" s="21"/>
      <c r="D106" s="10"/>
      <c r="E106" s="81"/>
      <c r="F106" s="22"/>
      <c r="G106" s="12"/>
      <c r="H106" s="81"/>
      <c r="I106" s="21"/>
      <c r="J106" s="10"/>
      <c r="K106" s="81"/>
      <c r="L106" s="22"/>
      <c r="M106" s="12"/>
      <c r="N106" s="81"/>
      <c r="O106" s="21"/>
      <c r="P106" s="10"/>
      <c r="Q106" s="81"/>
      <c r="R106" s="22"/>
      <c r="S106" s="12"/>
      <c r="T106" s="81"/>
      <c r="U106" s="21"/>
      <c r="V106" s="10"/>
      <c r="W106" s="81"/>
      <c r="X106" s="22"/>
      <c r="Y106" s="12"/>
      <c r="Z106" s="81"/>
      <c r="AA106" s="21"/>
      <c r="AB106" s="10"/>
      <c r="AC106" s="81"/>
      <c r="AD106" s="22"/>
      <c r="AE106" s="12"/>
      <c r="AF106" s="81"/>
      <c r="AG106" s="21"/>
      <c r="AH106" s="10"/>
      <c r="AI106" s="81"/>
      <c r="AJ106" s="23"/>
    </row>
    <row r="107" spans="1:36" ht="15.6">
      <c r="A107" s="8"/>
      <c r="B107" s="81"/>
      <c r="C107" s="21"/>
      <c r="D107" s="10"/>
      <c r="E107" s="81"/>
      <c r="F107" s="22"/>
      <c r="G107" s="12"/>
      <c r="H107" s="81"/>
      <c r="I107" s="21"/>
      <c r="J107" s="10"/>
      <c r="K107" s="81"/>
      <c r="L107" s="22"/>
      <c r="M107" s="12"/>
      <c r="N107" s="81"/>
      <c r="O107" s="21"/>
      <c r="P107" s="10"/>
      <c r="Q107" s="81"/>
      <c r="R107" s="22"/>
      <c r="S107" s="12"/>
      <c r="T107" s="81"/>
      <c r="U107" s="21"/>
      <c r="V107" s="10"/>
      <c r="W107" s="81"/>
      <c r="X107" s="22"/>
      <c r="Y107" s="12"/>
      <c r="Z107" s="81"/>
      <c r="AA107" s="21"/>
      <c r="AB107" s="10"/>
      <c r="AC107" s="81"/>
      <c r="AD107" s="22"/>
      <c r="AE107" s="12"/>
      <c r="AF107" s="81"/>
      <c r="AG107" s="21"/>
      <c r="AH107" s="10"/>
      <c r="AI107" s="81"/>
      <c r="AJ107" s="23"/>
    </row>
    <row r="108" spans="1:36" ht="15.6">
      <c r="A108" s="8"/>
      <c r="B108" s="81"/>
      <c r="C108" s="21"/>
      <c r="D108" s="10"/>
      <c r="E108" s="81"/>
      <c r="F108" s="22"/>
      <c r="G108" s="12"/>
      <c r="H108" s="81"/>
      <c r="I108" s="21"/>
      <c r="J108" s="10"/>
      <c r="K108" s="81"/>
      <c r="L108" s="22"/>
      <c r="M108" s="12"/>
      <c r="N108" s="81"/>
      <c r="O108" s="21"/>
      <c r="P108" s="10"/>
      <c r="Q108" s="81"/>
      <c r="R108" s="22"/>
      <c r="S108" s="12"/>
      <c r="T108" s="81"/>
      <c r="U108" s="21"/>
      <c r="V108" s="10"/>
      <c r="W108" s="81"/>
      <c r="X108" s="22"/>
      <c r="Y108" s="12"/>
      <c r="Z108" s="81"/>
      <c r="AA108" s="21"/>
      <c r="AB108" s="10"/>
      <c r="AC108" s="81"/>
      <c r="AD108" s="22"/>
      <c r="AE108" s="12"/>
      <c r="AF108" s="81"/>
      <c r="AG108" s="21"/>
      <c r="AH108" s="10"/>
      <c r="AI108" s="81"/>
      <c r="AJ108" s="23"/>
    </row>
    <row r="109" spans="1:36" ht="16.2" thickBot="1">
      <c r="A109" s="121" t="s">
        <v>17</v>
      </c>
      <c r="B109" s="122"/>
      <c r="C109" s="76">
        <f>SUM(C$61:C$108)</f>
        <v>0</v>
      </c>
      <c r="D109" s="123" t="str">
        <f>A109</f>
        <v xml:space="preserve">Summe + </v>
      </c>
      <c r="E109" s="122"/>
      <c r="F109" s="76">
        <f>SUM(F$61:F$108)</f>
        <v>0</v>
      </c>
      <c r="G109" s="125" t="str">
        <f>A109</f>
        <v xml:space="preserve">Summe + </v>
      </c>
      <c r="H109" s="122"/>
      <c r="I109" s="76">
        <f>SUM(I$61:I$108)</f>
        <v>0</v>
      </c>
      <c r="J109" s="123" t="str">
        <f>A109</f>
        <v xml:space="preserve">Summe + </v>
      </c>
      <c r="K109" s="122"/>
      <c r="L109" s="76">
        <f>SUM(L$61:L$108)</f>
        <v>0</v>
      </c>
      <c r="M109" s="125" t="str">
        <f>A109</f>
        <v xml:space="preserve">Summe + </v>
      </c>
      <c r="N109" s="122"/>
      <c r="O109" s="76">
        <f>SUM(O$61:O$108)</f>
        <v>0</v>
      </c>
      <c r="P109" s="123" t="str">
        <f>A109</f>
        <v xml:space="preserve">Summe + </v>
      </c>
      <c r="Q109" s="122"/>
      <c r="R109" s="76">
        <f>SUM(R$61:R$108)</f>
        <v>0</v>
      </c>
      <c r="S109" s="125" t="str">
        <f>A109</f>
        <v xml:space="preserve">Summe + </v>
      </c>
      <c r="T109" s="122"/>
      <c r="U109" s="76">
        <f>SUM(U$61:U$108)</f>
        <v>0</v>
      </c>
      <c r="V109" s="123" t="str">
        <f>A109</f>
        <v xml:space="preserve">Summe + </v>
      </c>
      <c r="W109" s="122"/>
      <c r="X109" s="76">
        <f>SUM(X$61:X$108)</f>
        <v>100</v>
      </c>
      <c r="Y109" s="125" t="str">
        <f>A109</f>
        <v xml:space="preserve">Summe + </v>
      </c>
      <c r="Z109" s="122"/>
      <c r="AA109" s="76">
        <f>SUM(AA$61:AA$108)</f>
        <v>0</v>
      </c>
      <c r="AB109" s="123" t="str">
        <f>A109</f>
        <v xml:space="preserve">Summe + </v>
      </c>
      <c r="AC109" s="122"/>
      <c r="AD109" s="76">
        <f>SUM(AD$61:AD$108)</f>
        <v>0</v>
      </c>
      <c r="AE109" s="125" t="str">
        <f>A109</f>
        <v xml:space="preserve">Summe + </v>
      </c>
      <c r="AF109" s="122"/>
      <c r="AG109" s="76">
        <f>SUM(AG$61:AG$108)</f>
        <v>0</v>
      </c>
      <c r="AH109" s="123" t="str">
        <f>A109</f>
        <v xml:space="preserve">Summe + </v>
      </c>
      <c r="AI109" s="122"/>
      <c r="AJ109" s="77">
        <f>SUM(AJ$61:AJ$108)</f>
        <v>0</v>
      </c>
    </row>
    <row r="110" spans="1:36" ht="16.2" thickBot="1">
      <c r="A110" s="119" t="s">
        <v>5</v>
      </c>
      <c r="B110" s="120"/>
      <c r="C110" s="46">
        <f>C60+C109</f>
        <v>0</v>
      </c>
      <c r="D110" s="124" t="str">
        <f>A110</f>
        <v>Summe</v>
      </c>
      <c r="E110" s="120"/>
      <c r="F110" s="48">
        <f>F60+F109</f>
        <v>0</v>
      </c>
      <c r="G110" s="124" t="str">
        <f>A110</f>
        <v>Summe</v>
      </c>
      <c r="H110" s="120"/>
      <c r="I110" s="46">
        <f>I60+I109</f>
        <v>0</v>
      </c>
      <c r="J110" s="124" t="str">
        <f>A110</f>
        <v>Summe</v>
      </c>
      <c r="K110" s="120"/>
      <c r="L110" s="48">
        <f>L60+L109</f>
        <v>0</v>
      </c>
      <c r="M110" s="124" t="str">
        <f>A110</f>
        <v>Summe</v>
      </c>
      <c r="N110" s="120"/>
      <c r="O110" s="46">
        <f>O60+O109</f>
        <v>0</v>
      </c>
      <c r="P110" s="124" t="str">
        <f>A110</f>
        <v>Summe</v>
      </c>
      <c r="Q110" s="120"/>
      <c r="R110" s="48">
        <f>R60+R109</f>
        <v>0</v>
      </c>
      <c r="S110" s="124" t="str">
        <f>A110</f>
        <v>Summe</v>
      </c>
      <c r="T110" s="120"/>
      <c r="U110" s="46">
        <f>U60+U109</f>
        <v>0</v>
      </c>
      <c r="V110" s="124" t="str">
        <f>A110</f>
        <v>Summe</v>
      </c>
      <c r="W110" s="120"/>
      <c r="X110" s="48">
        <f>X60+X109</f>
        <v>100</v>
      </c>
      <c r="Y110" s="124" t="str">
        <f>A110</f>
        <v>Summe</v>
      </c>
      <c r="Z110" s="120"/>
      <c r="AA110" s="46">
        <f>AA60+AA109</f>
        <v>0</v>
      </c>
      <c r="AB110" s="124" t="str">
        <f>A110</f>
        <v>Summe</v>
      </c>
      <c r="AC110" s="120"/>
      <c r="AD110" s="48">
        <f>AD60+AD109</f>
        <v>0</v>
      </c>
      <c r="AE110" s="124" t="str">
        <f>A110</f>
        <v>Summe</v>
      </c>
      <c r="AF110" s="120"/>
      <c r="AG110" s="46">
        <f>AG60+AG109</f>
        <v>0</v>
      </c>
      <c r="AH110" s="124" t="str">
        <f>A110</f>
        <v>Summe</v>
      </c>
      <c r="AI110" s="120"/>
      <c r="AJ110" s="50">
        <f>AJ60+AJ109</f>
        <v>0</v>
      </c>
    </row>
    <row r="111" spans="1:36" ht="15" thickTop="1">
      <c r="V111" s="78"/>
    </row>
    <row r="117" spans="1:17" ht="15.6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</row>
    <row r="118" spans="1:17" ht="15.6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</row>
    <row r="119" spans="1:17" ht="15.6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</row>
    <row r="120" spans="1:17" ht="15.6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</row>
    <row r="121" spans="1:17">
      <c r="I121" s="138" t="s">
        <v>7</v>
      </c>
      <c r="J121" s="138" t="s">
        <v>2</v>
      </c>
      <c r="K121" s="138" t="s">
        <v>44</v>
      </c>
      <c r="L121" s="138" t="s">
        <v>3</v>
      </c>
      <c r="M121" s="138" t="s">
        <v>45</v>
      </c>
      <c r="N121" s="138" t="s">
        <v>10</v>
      </c>
      <c r="O121" s="138" t="s">
        <v>9</v>
      </c>
      <c r="P121" s="138" t="s">
        <v>11</v>
      </c>
      <c r="Q121" s="138" t="s">
        <v>12</v>
      </c>
    </row>
    <row r="122" spans="1:17">
      <c r="I122" s="83">
        <v>1</v>
      </c>
      <c r="J122" s="139">
        <v>-140</v>
      </c>
      <c r="K122" s="139">
        <v>0</v>
      </c>
      <c r="L122" s="139">
        <v>0</v>
      </c>
      <c r="M122" s="140">
        <f>SUM(J122:L122)</f>
        <v>-140</v>
      </c>
      <c r="N122" s="139">
        <v>0</v>
      </c>
      <c r="O122" s="141">
        <v>0</v>
      </c>
      <c r="P122" s="142">
        <f>O122+N122</f>
        <v>0</v>
      </c>
      <c r="Q122" s="143">
        <f>AVERAGE(P127:P129)</f>
        <v>0</v>
      </c>
    </row>
    <row r="123" spans="1:17">
      <c r="I123" s="83">
        <v>2</v>
      </c>
      <c r="J123" s="139">
        <v>-140</v>
      </c>
      <c r="K123" s="139">
        <v>0</v>
      </c>
      <c r="L123" s="139">
        <v>0</v>
      </c>
      <c r="M123" s="140">
        <f t="shared" ref="M123:M133" si="0">SUM(J123:L123)</f>
        <v>-140</v>
      </c>
      <c r="N123" s="139">
        <v>0</v>
      </c>
      <c r="O123" s="141">
        <v>0</v>
      </c>
      <c r="P123" s="142">
        <f>O123+N123</f>
        <v>0</v>
      </c>
      <c r="Q123" s="143">
        <f t="shared" ref="Q123:Q133" si="1">Q122</f>
        <v>0</v>
      </c>
    </row>
    <row r="124" spans="1:17">
      <c r="I124" s="83">
        <v>3</v>
      </c>
      <c r="J124" s="139">
        <v>-140</v>
      </c>
      <c r="K124" s="139">
        <v>0</v>
      </c>
      <c r="L124" s="139">
        <v>0</v>
      </c>
      <c r="M124" s="140">
        <f t="shared" si="0"/>
        <v>-140</v>
      </c>
      <c r="N124" s="139">
        <v>0</v>
      </c>
      <c r="O124" s="141">
        <v>0</v>
      </c>
      <c r="P124" s="142">
        <f>O124+N124</f>
        <v>0</v>
      </c>
      <c r="Q124" s="143">
        <f t="shared" si="1"/>
        <v>0</v>
      </c>
    </row>
    <row r="125" spans="1:17">
      <c r="I125" s="83">
        <v>4</v>
      </c>
      <c r="J125" s="139">
        <v>0</v>
      </c>
      <c r="K125" s="139">
        <v>0</v>
      </c>
      <c r="L125" s="139">
        <v>0</v>
      </c>
      <c r="M125" s="140">
        <f t="shared" si="0"/>
        <v>0</v>
      </c>
      <c r="N125" s="139">
        <v>0</v>
      </c>
      <c r="O125" s="141">
        <v>0</v>
      </c>
      <c r="P125" s="142">
        <f>O125+N125</f>
        <v>0</v>
      </c>
      <c r="Q125" s="143">
        <f t="shared" si="1"/>
        <v>0</v>
      </c>
    </row>
    <row r="126" spans="1:17">
      <c r="I126" s="83">
        <v>5</v>
      </c>
      <c r="J126" s="139">
        <v>0</v>
      </c>
      <c r="K126" s="139">
        <v>-40</v>
      </c>
      <c r="L126" s="139">
        <v>0</v>
      </c>
      <c r="M126" s="140">
        <f t="shared" si="0"/>
        <v>-40</v>
      </c>
      <c r="N126" s="139">
        <v>0</v>
      </c>
      <c r="O126" s="141">
        <v>0</v>
      </c>
      <c r="P126" s="142">
        <f>O126+N126</f>
        <v>0</v>
      </c>
      <c r="Q126" s="143">
        <f t="shared" si="1"/>
        <v>0</v>
      </c>
    </row>
    <row r="127" spans="1:17">
      <c r="I127" s="83">
        <v>6</v>
      </c>
      <c r="J127" s="139">
        <v>0</v>
      </c>
      <c r="K127" s="139">
        <v>0</v>
      </c>
      <c r="L127" s="139">
        <v>-74</v>
      </c>
      <c r="M127" s="140">
        <f t="shared" si="0"/>
        <v>-74</v>
      </c>
      <c r="N127" s="139">
        <f>J116</f>
        <v>0</v>
      </c>
      <c r="O127" s="141">
        <v>0</v>
      </c>
      <c r="P127" s="144">
        <v>0</v>
      </c>
      <c r="Q127" s="143">
        <f t="shared" si="1"/>
        <v>0</v>
      </c>
    </row>
    <row r="128" spans="1:17">
      <c r="I128" s="83">
        <v>7</v>
      </c>
      <c r="J128" s="139">
        <v>0</v>
      </c>
      <c r="K128" s="139">
        <v>0</v>
      </c>
      <c r="L128" s="139">
        <v>0</v>
      </c>
      <c r="M128" s="140"/>
      <c r="N128" s="139">
        <f>L116</f>
        <v>0</v>
      </c>
      <c r="O128" s="141">
        <f>L117</f>
        <v>0</v>
      </c>
      <c r="P128" s="145">
        <f>O128+N128</f>
        <v>0</v>
      </c>
      <c r="Q128" s="143">
        <f t="shared" si="1"/>
        <v>0</v>
      </c>
    </row>
    <row r="129" spans="9:17">
      <c r="I129" s="83">
        <v>8</v>
      </c>
      <c r="J129" s="139">
        <v>-140</v>
      </c>
      <c r="K129" s="139">
        <v>-40</v>
      </c>
      <c r="L129" s="139">
        <v>0</v>
      </c>
      <c r="M129" s="140"/>
      <c r="N129" s="139">
        <f>N116</f>
        <v>0</v>
      </c>
      <c r="O129" s="141">
        <f>N117</f>
        <v>0</v>
      </c>
      <c r="P129" s="142">
        <f>O129+N129</f>
        <v>0</v>
      </c>
      <c r="Q129" s="143">
        <f t="shared" si="1"/>
        <v>0</v>
      </c>
    </row>
    <row r="130" spans="9:17">
      <c r="I130" s="83">
        <v>9</v>
      </c>
      <c r="J130" s="139">
        <v>0</v>
      </c>
      <c r="K130" s="139">
        <v>0</v>
      </c>
      <c r="L130" s="139">
        <v>0</v>
      </c>
      <c r="M130" s="140">
        <f t="shared" si="0"/>
        <v>0</v>
      </c>
      <c r="N130" s="139">
        <v>0</v>
      </c>
      <c r="O130" s="141">
        <v>0</v>
      </c>
      <c r="P130" s="142">
        <f>O130+N130</f>
        <v>0</v>
      </c>
      <c r="Q130" s="143">
        <f t="shared" si="1"/>
        <v>0</v>
      </c>
    </row>
    <row r="131" spans="9:17">
      <c r="I131" s="83">
        <v>10</v>
      </c>
      <c r="J131" s="139">
        <v>0</v>
      </c>
      <c r="K131" s="139">
        <v>0</v>
      </c>
      <c r="L131" s="139">
        <v>0</v>
      </c>
      <c r="M131" s="140">
        <f t="shared" si="0"/>
        <v>0</v>
      </c>
      <c r="N131" s="139">
        <v>0</v>
      </c>
      <c r="O131" s="141">
        <v>0</v>
      </c>
      <c r="P131" s="142">
        <f>O131+N131</f>
        <v>0</v>
      </c>
      <c r="Q131" s="143">
        <f t="shared" si="1"/>
        <v>0</v>
      </c>
    </row>
    <row r="132" spans="9:17">
      <c r="I132" s="83">
        <v>11</v>
      </c>
      <c r="J132" s="139">
        <v>0</v>
      </c>
      <c r="K132" s="139">
        <v>0</v>
      </c>
      <c r="L132" s="139">
        <v>0</v>
      </c>
      <c r="M132" s="140">
        <f t="shared" si="0"/>
        <v>0</v>
      </c>
      <c r="N132" s="139">
        <v>0</v>
      </c>
      <c r="O132" s="141">
        <v>0</v>
      </c>
      <c r="P132" s="142">
        <f>O132+N132</f>
        <v>0</v>
      </c>
      <c r="Q132" s="143">
        <f t="shared" si="1"/>
        <v>0</v>
      </c>
    </row>
    <row r="133" spans="9:17">
      <c r="I133" s="83">
        <v>12</v>
      </c>
      <c r="J133" s="139">
        <v>0</v>
      </c>
      <c r="K133" s="139">
        <v>0</v>
      </c>
      <c r="L133" s="139">
        <v>0</v>
      </c>
      <c r="M133" s="140">
        <f t="shared" si="0"/>
        <v>0</v>
      </c>
      <c r="N133" s="139">
        <v>0</v>
      </c>
      <c r="O133" s="141">
        <v>0</v>
      </c>
      <c r="P133" s="142">
        <f>O133+N133</f>
        <v>0</v>
      </c>
      <c r="Q133" s="143">
        <f t="shared" si="1"/>
        <v>0</v>
      </c>
    </row>
  </sheetData>
  <mergeCells count="50">
    <mergeCell ref="AH110:AI110"/>
    <mergeCell ref="AH109:AI109"/>
    <mergeCell ref="Y109:Z109"/>
    <mergeCell ref="Y110:Z110"/>
    <mergeCell ref="AB109:AC109"/>
    <mergeCell ref="AB110:AC110"/>
    <mergeCell ref="AE110:AF110"/>
    <mergeCell ref="AE109:AF109"/>
    <mergeCell ref="P109:Q109"/>
    <mergeCell ref="P110:Q110"/>
    <mergeCell ref="S109:T109"/>
    <mergeCell ref="S110:T110"/>
    <mergeCell ref="V110:W110"/>
    <mergeCell ref="V109:W109"/>
    <mergeCell ref="G110:H110"/>
    <mergeCell ref="J110:K110"/>
    <mergeCell ref="G109:H109"/>
    <mergeCell ref="J109:K109"/>
    <mergeCell ref="M110:N110"/>
    <mergeCell ref="M109:N109"/>
    <mergeCell ref="D60:E60"/>
    <mergeCell ref="A60:B60"/>
    <mergeCell ref="A110:B110"/>
    <mergeCell ref="A109:B109"/>
    <mergeCell ref="D109:E109"/>
    <mergeCell ref="D110:E110"/>
    <mergeCell ref="S60:T60"/>
    <mergeCell ref="P60:Q60"/>
    <mergeCell ref="M60:N60"/>
    <mergeCell ref="J60:K60"/>
    <mergeCell ref="G60:H60"/>
    <mergeCell ref="AH60:AI60"/>
    <mergeCell ref="AE60:AF60"/>
    <mergeCell ref="AB60:AC60"/>
    <mergeCell ref="Y60:Z60"/>
    <mergeCell ref="V60:W60"/>
    <mergeCell ref="AE10:AG10"/>
    <mergeCell ref="AH10:AJ10"/>
    <mergeCell ref="M10:O10"/>
    <mergeCell ref="P10:R10"/>
    <mergeCell ref="S10:U10"/>
    <mergeCell ref="V10:X10"/>
    <mergeCell ref="Y10:AA10"/>
    <mergeCell ref="AB10:AD10"/>
    <mergeCell ref="J10:L10"/>
    <mergeCell ref="C2:D2"/>
    <mergeCell ref="C3:D3"/>
    <mergeCell ref="A10:C10"/>
    <mergeCell ref="D10:F10"/>
    <mergeCell ref="G10:I10"/>
  </mergeCells>
  <conditionalFormatting sqref="C2:C3 A61:AJ108">
    <cfRule type="cellIs" dxfId="243" priority="101" operator="lessThan">
      <formula>0</formula>
    </cfRule>
    <cfRule type="cellIs" dxfId="242" priority="102" operator="lessThan">
      <formula>0</formula>
    </cfRule>
  </conditionalFormatting>
  <conditionalFormatting sqref="C2:C3 A61:AJ108">
    <cfRule type="cellIs" dxfId="241" priority="100" operator="lessThan">
      <formula>0</formula>
    </cfRule>
  </conditionalFormatting>
  <conditionalFormatting sqref="C3 C60:C110 F60:F110 I60:I110 L60:L110 R60:R110 O60:O110 X60:X110 AA60:AA110 AD60:AD110 AG60:AG110 AJ60:AJ110 U60:U110">
    <cfRule type="cellIs" dxfId="240" priority="99" operator="greaterThan">
      <formula>0</formula>
    </cfRule>
  </conditionalFormatting>
  <conditionalFormatting sqref="C60:C108 F60:F108 I60:I108 L60:L108 O60:O108 R60:R108">
    <cfRule type="cellIs" dxfId="239" priority="97" operator="greaterThan">
      <formula>0</formula>
    </cfRule>
    <cfRule type="cellIs" dxfId="238" priority="98" operator="lessThan">
      <formula>0</formula>
    </cfRule>
  </conditionalFormatting>
  <conditionalFormatting sqref="C60:C108 F60:F108 I60:I108 L60:L108 O60:O108 R60:R108">
    <cfRule type="cellIs" dxfId="237" priority="96" operator="equal">
      <formula>0</formula>
    </cfRule>
  </conditionalFormatting>
  <conditionalFormatting sqref="J122:O133 P123:R133 P122:Q122 A10:R10 A11 R11 C11:D11 F11:G11 I11:J11 L11:M11 O11:P11 A60 R60 O60:P60 L60:M60 I60:J60 F60:G60 C60:D60 A111:R120 A109:A110 C109:D110 F109:G110 I109:J110 L109:M110 O109:P110 R109:R110">
    <cfRule type="cellIs" dxfId="236" priority="94" operator="lessThan">
      <formula>0</formula>
    </cfRule>
    <cfRule type="cellIs" dxfId="235" priority="95" operator="lessThan">
      <formula>0</formula>
    </cfRule>
  </conditionalFormatting>
  <conditionalFormatting sqref="J122:O133 P123:R133 P122:Q122 A10:R10 A11 R11 C11:D11 F11:G11 I11:J11 L11:M11 O11:P11 A60 R60 O60:P60 L60:M60 I60:J60 F60:G60 C60:D60 A111:R120 A109:A110 C109:D110 F109:G110 I109:J110 L109:M110 O109:P110 R109:R110">
    <cfRule type="cellIs" dxfId="234" priority="93" operator="lessThan">
      <formula>0</formula>
    </cfRule>
  </conditionalFormatting>
  <conditionalFormatting sqref="J122:O133">
    <cfRule type="cellIs" dxfId="233" priority="92" operator="greaterThan">
      <formula>0</formula>
    </cfRule>
  </conditionalFormatting>
  <conditionalFormatting sqref="U109">
    <cfRule type="cellIs" dxfId="232" priority="89" operator="greaterThan">
      <formula>0</formula>
    </cfRule>
    <cfRule type="cellIs" dxfId="231" priority="90" operator="greaterThan">
      <formula>1287.38</formula>
    </cfRule>
    <cfRule type="cellIs" dxfId="230" priority="91" operator="lessThan">
      <formula>0</formula>
    </cfRule>
  </conditionalFormatting>
  <conditionalFormatting sqref="X60:X108 AA60:AA108 AD60:AD108 AG60:AG108 AJ60:AJ108 U60:U108">
    <cfRule type="cellIs" dxfId="229" priority="87" operator="equal">
      <formula>0</formula>
    </cfRule>
    <cfRule type="cellIs" dxfId="228" priority="88" operator="greaterThan">
      <formula>0</formula>
    </cfRule>
  </conditionalFormatting>
  <conditionalFormatting sqref="S10:AJ10 T11:U11 W11:X11 Z11:AA11 AC11:AD11 AF11:AG11 AI11:AJ11 S60 AJ60 AG60:AH60 AD60:AE60 AA60:AB60 X60:Y60 U60:V60 S109:S110 U109:V110 X109:Y110 AA109:AB110 AD109:AE110 AG109:AH110 AJ109:AJ110">
    <cfRule type="cellIs" dxfId="227" priority="84" operator="lessThan">
      <formula>0</formula>
    </cfRule>
    <cfRule type="cellIs" dxfId="226" priority="85" operator="lessThan">
      <formula>0</formula>
    </cfRule>
  </conditionalFormatting>
  <conditionalFormatting sqref="S10:AJ10 T11:U11 W11:X11 Z11:AA11 AC11:AD11 AF11:AG11 AI11:AJ11 S60 AJ60 AG60:AH60 AD60:AE60 AA60:AB60 X60:Y60 U60:V60 S109:S110 U109:V110 X109:Y110 AA109:AB110 AD109:AE110 AG109:AH110 AJ109:AJ110">
    <cfRule type="cellIs" dxfId="225" priority="83" operator="lessThan">
      <formula>0</formula>
    </cfRule>
  </conditionalFormatting>
  <conditionalFormatting sqref="J122:O133">
    <cfRule type="cellIs" dxfId="224" priority="81" operator="equal">
      <formula>0</formula>
    </cfRule>
  </conditionalFormatting>
  <conditionalFormatting sqref="C109 F109 I109 L109 R109 U109 X109 AA109 AD109 AG109 AJ109">
    <cfRule type="cellIs" dxfId="223" priority="80" operator="equal">
      <formula>0</formula>
    </cfRule>
  </conditionalFormatting>
  <conditionalFormatting sqref="O109">
    <cfRule type="cellIs" dxfId="222" priority="79" operator="equal">
      <formula>0</formula>
    </cfRule>
  </conditionalFormatting>
  <conditionalFormatting sqref="U109">
    <cfRule type="cellIs" dxfId="221" priority="77" operator="lessThan">
      <formula>0</formula>
    </cfRule>
    <cfRule type="cellIs" dxfId="220" priority="78" operator="lessThan">
      <formula>0</formula>
    </cfRule>
  </conditionalFormatting>
  <conditionalFormatting sqref="U109">
    <cfRule type="cellIs" dxfId="219" priority="76" operator="lessThan">
      <formula>0</formula>
    </cfRule>
  </conditionalFormatting>
  <conditionalFormatting sqref="U109">
    <cfRule type="cellIs" dxfId="218" priority="75" operator="greaterThan">
      <formula>0</formula>
    </cfRule>
  </conditionalFormatting>
  <conditionalFormatting sqref="X109">
    <cfRule type="cellIs" dxfId="217" priority="73" operator="lessThan">
      <formula>0</formula>
    </cfRule>
    <cfRule type="cellIs" dxfId="216" priority="74" operator="lessThan">
      <formula>0</formula>
    </cfRule>
  </conditionalFormatting>
  <conditionalFormatting sqref="X109">
    <cfRule type="cellIs" dxfId="215" priority="72" operator="lessThan">
      <formula>0</formula>
    </cfRule>
  </conditionalFormatting>
  <conditionalFormatting sqref="X109">
    <cfRule type="cellIs" dxfId="214" priority="71" operator="greaterThan">
      <formula>0</formula>
    </cfRule>
  </conditionalFormatting>
  <conditionalFormatting sqref="AA109">
    <cfRule type="cellIs" dxfId="213" priority="69" operator="lessThan">
      <formula>0</formula>
    </cfRule>
    <cfRule type="cellIs" dxfId="212" priority="70" operator="lessThan">
      <formula>0</formula>
    </cfRule>
  </conditionalFormatting>
  <conditionalFormatting sqref="AA109">
    <cfRule type="cellIs" dxfId="211" priority="68" operator="lessThan">
      <formula>0</formula>
    </cfRule>
  </conditionalFormatting>
  <conditionalFormatting sqref="AA109">
    <cfRule type="cellIs" dxfId="210" priority="67" operator="greaterThan">
      <formula>0</formula>
    </cfRule>
  </conditionalFormatting>
  <conditionalFormatting sqref="AD109">
    <cfRule type="cellIs" dxfId="209" priority="65" operator="lessThan">
      <formula>0</formula>
    </cfRule>
    <cfRule type="cellIs" dxfId="208" priority="66" operator="lessThan">
      <formula>0</formula>
    </cfRule>
  </conditionalFormatting>
  <conditionalFormatting sqref="AD109">
    <cfRule type="cellIs" dxfId="207" priority="64" operator="lessThan">
      <formula>0</formula>
    </cfRule>
  </conditionalFormatting>
  <conditionalFormatting sqref="AD109">
    <cfRule type="cellIs" dxfId="206" priority="63" operator="greaterThan">
      <formula>0</formula>
    </cfRule>
  </conditionalFormatting>
  <conditionalFormatting sqref="AG109">
    <cfRule type="cellIs" dxfId="205" priority="61" operator="lessThan">
      <formula>0</formula>
    </cfRule>
    <cfRule type="cellIs" dxfId="204" priority="62" operator="lessThan">
      <formula>0</formula>
    </cfRule>
  </conditionalFormatting>
  <conditionalFormatting sqref="AG109">
    <cfRule type="cellIs" dxfId="203" priority="60" operator="lessThan">
      <formula>0</formula>
    </cfRule>
  </conditionalFormatting>
  <conditionalFormatting sqref="AG109">
    <cfRule type="cellIs" dxfId="202" priority="59" operator="greaterThan">
      <formula>0</formula>
    </cfRule>
  </conditionalFormatting>
  <conditionalFormatting sqref="AJ109">
    <cfRule type="cellIs" dxfId="201" priority="57" operator="lessThan">
      <formula>0</formula>
    </cfRule>
    <cfRule type="cellIs" dxfId="200" priority="58" operator="lessThan">
      <formula>0</formula>
    </cfRule>
  </conditionalFormatting>
  <conditionalFormatting sqref="AJ109">
    <cfRule type="cellIs" dxfId="199" priority="56" operator="lessThan">
      <formula>0</formula>
    </cfRule>
  </conditionalFormatting>
  <conditionalFormatting sqref="AJ109">
    <cfRule type="cellIs" dxfId="198" priority="55" operator="greaterThan">
      <formula>0</formula>
    </cfRule>
  </conditionalFormatting>
  <conditionalFormatting sqref="Q11">
    <cfRule type="cellIs" dxfId="197" priority="53" operator="lessThan">
      <formula>0</formula>
    </cfRule>
    <cfRule type="cellIs" dxfId="196" priority="54" operator="lessThan">
      <formula>0</formula>
    </cfRule>
  </conditionalFormatting>
  <conditionalFormatting sqref="Q11">
    <cfRule type="cellIs" dxfId="195" priority="52" operator="lessThan">
      <formula>0</formula>
    </cfRule>
  </conditionalFormatting>
  <conditionalFormatting sqref="N11">
    <cfRule type="cellIs" dxfId="194" priority="50" operator="lessThan">
      <formula>0</formula>
    </cfRule>
    <cfRule type="cellIs" dxfId="193" priority="51" operator="lessThan">
      <formula>0</formula>
    </cfRule>
  </conditionalFormatting>
  <conditionalFormatting sqref="N11">
    <cfRule type="cellIs" dxfId="192" priority="49" operator="lessThan">
      <formula>0</formula>
    </cfRule>
  </conditionalFormatting>
  <conditionalFormatting sqref="K11">
    <cfRule type="cellIs" dxfId="191" priority="47" operator="lessThan">
      <formula>0</formula>
    </cfRule>
    <cfRule type="cellIs" dxfId="190" priority="48" operator="lessThan">
      <formula>0</formula>
    </cfRule>
  </conditionalFormatting>
  <conditionalFormatting sqref="K11">
    <cfRule type="cellIs" dxfId="189" priority="46" operator="lessThan">
      <formula>0</formula>
    </cfRule>
  </conditionalFormatting>
  <conditionalFormatting sqref="B11">
    <cfRule type="cellIs" dxfId="188" priority="44" operator="lessThan">
      <formula>0</formula>
    </cfRule>
    <cfRule type="cellIs" dxfId="187" priority="45" operator="lessThan">
      <formula>0</formula>
    </cfRule>
  </conditionalFormatting>
  <conditionalFormatting sqref="B11">
    <cfRule type="cellIs" dxfId="186" priority="43" operator="lessThan">
      <formula>0</formula>
    </cfRule>
  </conditionalFormatting>
  <conditionalFormatting sqref="E11">
    <cfRule type="cellIs" dxfId="185" priority="41" operator="lessThan">
      <formula>0</formula>
    </cfRule>
    <cfRule type="cellIs" dxfId="184" priority="42" operator="lessThan">
      <formula>0</formula>
    </cfRule>
  </conditionalFormatting>
  <conditionalFormatting sqref="E11">
    <cfRule type="cellIs" dxfId="183" priority="40" operator="lessThan">
      <formula>0</formula>
    </cfRule>
  </conditionalFormatting>
  <conditionalFormatting sqref="H11">
    <cfRule type="cellIs" dxfId="182" priority="38" operator="lessThan">
      <formula>0</formula>
    </cfRule>
    <cfRule type="cellIs" dxfId="181" priority="39" operator="lessThan">
      <formula>0</formula>
    </cfRule>
  </conditionalFormatting>
  <conditionalFormatting sqref="H11">
    <cfRule type="cellIs" dxfId="180" priority="37" operator="lessThan">
      <formula>0</formula>
    </cfRule>
  </conditionalFormatting>
  <conditionalFormatting sqref="S11">
    <cfRule type="cellIs" dxfId="179" priority="35" operator="lessThan">
      <formula>0</formula>
    </cfRule>
    <cfRule type="cellIs" dxfId="178" priority="36" operator="lessThan">
      <formula>0</formula>
    </cfRule>
  </conditionalFormatting>
  <conditionalFormatting sqref="S11">
    <cfRule type="cellIs" dxfId="177" priority="34" operator="lessThan">
      <formula>0</formula>
    </cfRule>
  </conditionalFormatting>
  <conditionalFormatting sqref="V11">
    <cfRule type="cellIs" dxfId="176" priority="32" operator="lessThan">
      <formula>0</formula>
    </cfRule>
    <cfRule type="cellIs" dxfId="175" priority="33" operator="lessThan">
      <formula>0</formula>
    </cfRule>
  </conditionalFormatting>
  <conditionalFormatting sqref="V11">
    <cfRule type="cellIs" dxfId="174" priority="31" operator="lessThan">
      <formula>0</formula>
    </cfRule>
  </conditionalFormatting>
  <conditionalFormatting sqref="Y11">
    <cfRule type="cellIs" dxfId="173" priority="29" operator="lessThan">
      <formula>0</formula>
    </cfRule>
    <cfRule type="cellIs" dxfId="172" priority="30" operator="lessThan">
      <formula>0</formula>
    </cfRule>
  </conditionalFormatting>
  <conditionalFormatting sqref="Y11">
    <cfRule type="cellIs" dxfId="171" priority="28" operator="lessThan">
      <formula>0</formula>
    </cfRule>
  </conditionalFormatting>
  <conditionalFormatting sqref="AB11">
    <cfRule type="cellIs" dxfId="170" priority="26" operator="lessThan">
      <formula>0</formula>
    </cfRule>
    <cfRule type="cellIs" dxfId="169" priority="27" operator="lessThan">
      <formula>0</formula>
    </cfRule>
  </conditionalFormatting>
  <conditionalFormatting sqref="AB11">
    <cfRule type="cellIs" dxfId="168" priority="25" operator="lessThan">
      <formula>0</formula>
    </cfRule>
  </conditionalFormatting>
  <conditionalFormatting sqref="AE11">
    <cfRule type="cellIs" dxfId="167" priority="23" operator="lessThan">
      <formula>0</formula>
    </cfRule>
    <cfRule type="cellIs" dxfId="166" priority="24" operator="lessThan">
      <formula>0</formula>
    </cfRule>
  </conditionalFormatting>
  <conditionalFormatting sqref="AE11">
    <cfRule type="cellIs" dxfId="165" priority="22" operator="lessThan">
      <formula>0</formula>
    </cfRule>
  </conditionalFormatting>
  <conditionalFormatting sqref="AH11">
    <cfRule type="cellIs" dxfId="164" priority="20" operator="lessThan">
      <formula>0</formula>
    </cfRule>
    <cfRule type="cellIs" dxfId="163" priority="21" operator="lessThan">
      <formula>0</formula>
    </cfRule>
  </conditionalFormatting>
  <conditionalFormatting sqref="AH11">
    <cfRule type="cellIs" dxfId="162" priority="19" operator="lessThan">
      <formula>0</formula>
    </cfRule>
  </conditionalFormatting>
  <conditionalFormatting sqref="A12:AJ59">
    <cfRule type="cellIs" dxfId="161" priority="17" operator="lessThan">
      <formula>0</formula>
    </cfRule>
    <cfRule type="cellIs" dxfId="160" priority="18" operator="lessThan">
      <formula>0</formula>
    </cfRule>
  </conditionalFormatting>
  <conditionalFormatting sqref="A12:AJ59">
    <cfRule type="cellIs" dxfId="159" priority="16" operator="lessThan">
      <formula>0</formula>
    </cfRule>
  </conditionalFormatting>
  <conditionalFormatting sqref="L12:L59 R12:R59 O12:O59 X12:X59 AA12:AA59 AD12:AD59 AG12:AG59 AJ12:AJ59 U12:U59 C12:C59 F12:F59 I12:I59">
    <cfRule type="cellIs" dxfId="158" priority="15" operator="greaterThan">
      <formula>0</formula>
    </cfRule>
  </conditionalFormatting>
  <conditionalFormatting sqref="C12:C59 F12:F59 I12:I59 L12:L59 O12:O59 R12:R59">
    <cfRule type="cellIs" dxfId="157" priority="13" operator="greaterThan">
      <formula>0</formula>
    </cfRule>
    <cfRule type="cellIs" dxfId="156" priority="14" operator="lessThan">
      <formula>0</formula>
    </cfRule>
  </conditionalFormatting>
  <conditionalFormatting sqref="C12:C59 F12:F59 I12:I59 L12:L59 O12:O59 R12:R59">
    <cfRule type="cellIs" dxfId="155" priority="12" operator="equal">
      <formula>0</formula>
    </cfRule>
  </conditionalFormatting>
  <conditionalFormatting sqref="X12:X59 AA12:AA59 AD12:AD59 AG12:AG59 AJ12:AJ59 U12:U59">
    <cfRule type="cellIs" dxfId="154" priority="10" operator="equal">
      <formula>0</formula>
    </cfRule>
    <cfRule type="cellIs" dxfId="153" priority="11" operator="greaterThan">
      <formula>0</formula>
    </cfRule>
  </conditionalFormatting>
  <conditionalFormatting sqref="J122:Q133">
    <cfRule type="cellIs" dxfId="152" priority="7" operator="equal">
      <formula>0</formula>
    </cfRule>
    <cfRule type="cellIs" dxfId="151" priority="8" operator="greaterThan">
      <formula>0</formula>
    </cfRule>
    <cfRule type="cellIs" dxfId="150" priority="9" operator="lessThan">
      <formula>0</formula>
    </cfRule>
  </conditionalFormatting>
  <conditionalFormatting sqref="C12:C14">
    <cfRule type="cellIs" dxfId="5" priority="5" operator="equal">
      <formula>0</formula>
    </cfRule>
    <cfRule type="cellIs" dxfId="4" priority="6" operator="greaterThan">
      <formula>0</formula>
    </cfRule>
  </conditionalFormatting>
  <conditionalFormatting sqref="F12:F14">
    <cfRule type="cellIs" dxfId="3" priority="3" operator="equal">
      <formula>0</formula>
    </cfRule>
    <cfRule type="cellIs" dxfId="2" priority="4" operator="greaterThan">
      <formula>0</formula>
    </cfRule>
  </conditionalFormatting>
  <conditionalFormatting sqref="I12:I14">
    <cfRule type="cellIs" dxfId="1" priority="1" operator="equal">
      <formula>0</formula>
    </cfRule>
    <cfRule type="cellIs" dxfId="0" priority="2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tart_transaction">
                <anchor moveWithCells="1" sizeWithCells="1">
                  <from>
                    <xdr:col>5</xdr:col>
                    <xdr:colOff>1181100</xdr:colOff>
                    <xdr:row>1</xdr:row>
                    <xdr:rowOff>15240</xdr:rowOff>
                  </from>
                  <to>
                    <xdr:col>12</xdr:col>
                    <xdr:colOff>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alc_Sum">
                <anchor moveWithCells="1" sizeWithCells="1">
                  <from>
                    <xdr:col>12</xdr:col>
                    <xdr:colOff>624840</xdr:colOff>
                    <xdr:row>1</xdr:row>
                    <xdr:rowOff>30480</xdr:rowOff>
                  </from>
                  <to>
                    <xdr:col>15</xdr:col>
                    <xdr:colOff>716280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A8BDD-0F6E-405A-A2E1-4A9F6EDDB1DD}">
  <sheetPr codeName="Tabelle1">
    <tabColor theme="5" tint="0.39997558519241921"/>
  </sheetPr>
  <dimension ref="A1:X144"/>
  <sheetViews>
    <sheetView topLeftCell="A101" zoomScale="54" workbookViewId="0">
      <selection activeCell="O133" sqref="O133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1" customFormat="1" ht="15" thickBot="1"/>
    <row r="2" spans="1:24" s="61" customFormat="1" ht="37.200000000000003" thickTop="1">
      <c r="B2" s="126" t="s">
        <v>15</v>
      </c>
      <c r="C2" s="127"/>
    </row>
    <row r="3" spans="1:24" s="61" customFormat="1" ht="37.200000000000003" thickBot="1">
      <c r="B3" s="128">
        <v>0</v>
      </c>
      <c r="C3" s="129"/>
      <c r="D3" s="61">
        <v>0</v>
      </c>
    </row>
    <row r="4" spans="1:24" s="61" customFormat="1" ht="15" thickTop="1"/>
    <row r="5" spans="1:24" s="61" customFormat="1"/>
    <row r="6" spans="1:24" s="62" customFormat="1" ht="15" thickBot="1">
      <c r="J6" s="62" t="s">
        <v>23</v>
      </c>
    </row>
    <row r="7" spans="1:24" ht="15" thickTop="1"/>
    <row r="9" spans="1:24" ht="15" thickBot="1"/>
    <row r="10" spans="1:24" ht="27" thickTop="1" thickBot="1">
      <c r="A10" s="109">
        <v>1</v>
      </c>
      <c r="B10" s="110"/>
      <c r="C10" s="107">
        <v>2</v>
      </c>
      <c r="D10" s="108"/>
      <c r="E10" s="101">
        <v>3</v>
      </c>
      <c r="F10" s="101"/>
      <c r="G10" s="107">
        <v>4</v>
      </c>
      <c r="H10" s="108"/>
      <c r="I10" s="101">
        <v>5</v>
      </c>
      <c r="J10" s="101"/>
      <c r="K10" s="107">
        <v>6</v>
      </c>
      <c r="L10" s="108"/>
      <c r="M10" s="101">
        <v>7</v>
      </c>
      <c r="N10" s="101"/>
      <c r="O10" s="107">
        <v>8</v>
      </c>
      <c r="P10" s="108"/>
      <c r="Q10" s="101">
        <v>9</v>
      </c>
      <c r="R10" s="101"/>
      <c r="S10" s="107">
        <v>10</v>
      </c>
      <c r="T10" s="108"/>
      <c r="U10" s="101">
        <v>11</v>
      </c>
      <c r="V10" s="101"/>
      <c r="W10" s="101">
        <v>12</v>
      </c>
      <c r="X10" s="102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>
        <v>50</v>
      </c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50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50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50</v>
      </c>
      <c r="I136" s="1">
        <f t="shared" si="0"/>
        <v>50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G10:H10"/>
    <mergeCell ref="B2:C2"/>
    <mergeCell ref="B3:C3"/>
    <mergeCell ref="A10:B10"/>
    <mergeCell ref="C10:D10"/>
    <mergeCell ref="E10:F10"/>
    <mergeCell ref="U10:V10"/>
    <mergeCell ref="W10:X10"/>
    <mergeCell ref="I10:J10"/>
    <mergeCell ref="K10:L10"/>
    <mergeCell ref="M10:N10"/>
    <mergeCell ref="O10:P10"/>
    <mergeCell ref="Q10:R10"/>
    <mergeCell ref="S10:T10"/>
  </mergeCells>
  <conditionalFormatting sqref="B2:B3">
    <cfRule type="cellIs" dxfId="149" priority="83" operator="lessThan">
      <formula>0</formula>
    </cfRule>
    <cfRule type="cellIs" dxfId="148" priority="84" operator="lessThan">
      <formula>0</formula>
    </cfRule>
  </conditionalFormatting>
  <conditionalFormatting sqref="B2:B3">
    <cfRule type="cellIs" dxfId="147" priority="82" operator="lessThan">
      <formula>0</formula>
    </cfRule>
  </conditionalFormatting>
  <conditionalFormatting sqref="B3">
    <cfRule type="cellIs" dxfId="146" priority="81" operator="greaterThan">
      <formula>0</formula>
    </cfRule>
  </conditionalFormatting>
  <conditionalFormatting sqref="B12:B119 D12:D119 F12:F119 H12:H119 J12:J119 L12:L119">
    <cfRule type="cellIs" dxfId="145" priority="43" operator="greaterThan">
      <formula>0</formula>
    </cfRule>
    <cfRule type="cellIs" dxfId="144" priority="44" operator="lessThan">
      <formula>0</formula>
    </cfRule>
  </conditionalFormatting>
  <conditionalFormatting sqref="B12:B119 D12:D119 F12:F119 H12:H119 J12:J119 L12:L119">
    <cfRule type="cellIs" dxfId="143" priority="42" operator="equal">
      <formula>0</formula>
    </cfRule>
  </conditionalFormatting>
  <conditionalFormatting sqref="F132:J144 K134:L144 K132:K133 A10:L131">
    <cfRule type="cellIs" dxfId="142" priority="40" operator="lessThan">
      <formula>0</formula>
    </cfRule>
    <cfRule type="cellIs" dxfId="141" priority="41" operator="lessThan">
      <formula>0</formula>
    </cfRule>
  </conditionalFormatting>
  <conditionalFormatting sqref="F132:J144 K134:L144 K132:K133 A10:L131">
    <cfRule type="cellIs" dxfId="140" priority="39" operator="lessThan">
      <formula>0</formula>
    </cfRule>
  </conditionalFormatting>
  <conditionalFormatting sqref="B12:B121 G133:J144 D12:D121 F12:F121 H12:H121 L12:L121 J12:J121">
    <cfRule type="cellIs" dxfId="139" priority="38" operator="greaterThan">
      <formula>0</formula>
    </cfRule>
  </conditionalFormatting>
  <conditionalFormatting sqref="N120">
    <cfRule type="cellIs" dxfId="138" priority="35" operator="greaterThan">
      <formula>0</formula>
    </cfRule>
    <cfRule type="cellIs" dxfId="137" priority="36" operator="greaterThan">
      <formula>1287.38</formula>
    </cfRule>
    <cfRule type="cellIs" dxfId="136" priority="37" operator="lessThan">
      <formula>0</formula>
    </cfRule>
  </conditionalFormatting>
  <conditionalFormatting sqref="P12:P119 R12:R119 T12:T119 V12:V119 X12:X119 N12:N119">
    <cfRule type="cellIs" dxfId="135" priority="33" operator="equal">
      <formula>0</formula>
    </cfRule>
    <cfRule type="cellIs" dxfId="134" priority="34" operator="greaterThan">
      <formula>0</formula>
    </cfRule>
  </conditionalFormatting>
  <conditionalFormatting sqref="M17:M21">
    <cfRule type="cellIs" dxfId="133" priority="32" operator="lessThan">
      <formula>0</formula>
    </cfRule>
  </conditionalFormatting>
  <conditionalFormatting sqref="M10:X121">
    <cfRule type="cellIs" dxfId="132" priority="30" operator="lessThan">
      <formula>0</formula>
    </cfRule>
    <cfRule type="cellIs" dxfId="131" priority="31" operator="lessThan">
      <formula>0</formula>
    </cfRule>
  </conditionalFormatting>
  <conditionalFormatting sqref="M10:X121">
    <cfRule type="cellIs" dxfId="130" priority="29" operator="lessThan">
      <formula>0</formula>
    </cfRule>
  </conditionalFormatting>
  <conditionalFormatting sqref="P12:P121 R12:R121 T12:T121 V12:V121 X12:X121 N12:N121">
    <cfRule type="cellIs" dxfId="129" priority="28" operator="greaterThan">
      <formula>0</formula>
    </cfRule>
  </conditionalFormatting>
  <conditionalFormatting sqref="G133:J144">
    <cfRule type="cellIs" dxfId="128" priority="27" operator="equal">
      <formula>0</formula>
    </cfRule>
  </conditionalFormatting>
  <conditionalFormatting sqref="B120 D120 F120 H120 L120 N120 P120 R120 T120 V120 X120">
    <cfRule type="cellIs" dxfId="127" priority="26" operator="equal">
      <formula>0</formula>
    </cfRule>
  </conditionalFormatting>
  <conditionalFormatting sqref="J120">
    <cfRule type="cellIs" dxfId="126" priority="25" operator="equal">
      <formula>0</formula>
    </cfRule>
  </conditionalFormatting>
  <conditionalFormatting sqref="N120">
    <cfRule type="cellIs" dxfId="125" priority="23" operator="lessThan">
      <formula>0</formula>
    </cfRule>
    <cfRule type="cellIs" dxfId="124" priority="24" operator="lessThan">
      <formula>0</formula>
    </cfRule>
  </conditionalFormatting>
  <conditionalFormatting sqref="N120">
    <cfRule type="cellIs" dxfId="123" priority="22" operator="lessThan">
      <formula>0</formula>
    </cfRule>
  </conditionalFormatting>
  <conditionalFormatting sqref="N120">
    <cfRule type="cellIs" dxfId="122" priority="21" operator="greaterThan">
      <formula>0</formula>
    </cfRule>
  </conditionalFormatting>
  <conditionalFormatting sqref="P120">
    <cfRule type="cellIs" dxfId="121" priority="19" operator="lessThan">
      <formula>0</formula>
    </cfRule>
    <cfRule type="cellIs" dxfId="120" priority="20" operator="lessThan">
      <formula>0</formula>
    </cfRule>
  </conditionalFormatting>
  <conditionalFormatting sqref="P120">
    <cfRule type="cellIs" dxfId="119" priority="18" operator="lessThan">
      <formula>0</formula>
    </cfRule>
  </conditionalFormatting>
  <conditionalFormatting sqref="P120">
    <cfRule type="cellIs" dxfId="118" priority="17" operator="greaterThan">
      <formula>0</formula>
    </cfRule>
  </conditionalFormatting>
  <conditionalFormatting sqref="R120">
    <cfRule type="cellIs" dxfId="117" priority="15" operator="lessThan">
      <formula>0</formula>
    </cfRule>
    <cfRule type="cellIs" dxfId="116" priority="16" operator="lessThan">
      <formula>0</formula>
    </cfRule>
  </conditionalFormatting>
  <conditionalFormatting sqref="R120">
    <cfRule type="cellIs" dxfId="115" priority="14" operator="lessThan">
      <formula>0</formula>
    </cfRule>
  </conditionalFormatting>
  <conditionalFormatting sqref="R120">
    <cfRule type="cellIs" dxfId="114" priority="13" operator="greaterThan">
      <formula>0</formula>
    </cfRule>
  </conditionalFormatting>
  <conditionalFormatting sqref="T120">
    <cfRule type="cellIs" dxfId="113" priority="11" operator="lessThan">
      <formula>0</formula>
    </cfRule>
    <cfRule type="cellIs" dxfId="112" priority="12" operator="lessThan">
      <formula>0</formula>
    </cfRule>
  </conditionalFormatting>
  <conditionalFormatting sqref="T120">
    <cfRule type="cellIs" dxfId="111" priority="10" operator="lessThan">
      <formula>0</formula>
    </cfRule>
  </conditionalFormatting>
  <conditionalFormatting sqref="T120">
    <cfRule type="cellIs" dxfId="110" priority="9" operator="greaterThan">
      <formula>0</formula>
    </cfRule>
  </conditionalFormatting>
  <conditionalFormatting sqref="V120">
    <cfRule type="cellIs" dxfId="109" priority="7" operator="lessThan">
      <formula>0</formula>
    </cfRule>
    <cfRule type="cellIs" dxfId="108" priority="8" operator="lessThan">
      <formula>0</formula>
    </cfRule>
  </conditionalFormatting>
  <conditionalFormatting sqref="V120">
    <cfRule type="cellIs" dxfId="107" priority="6" operator="lessThan">
      <formula>0</formula>
    </cfRule>
  </conditionalFormatting>
  <conditionalFormatting sqref="V120">
    <cfRule type="cellIs" dxfId="106" priority="5" operator="greaterThan">
      <formula>0</formula>
    </cfRule>
  </conditionalFormatting>
  <conditionalFormatting sqref="X120">
    <cfRule type="cellIs" dxfId="105" priority="3" operator="lessThan">
      <formula>0</formula>
    </cfRule>
    <cfRule type="cellIs" dxfId="104" priority="4" operator="lessThan">
      <formula>0</formula>
    </cfRule>
  </conditionalFormatting>
  <conditionalFormatting sqref="X120">
    <cfRule type="cellIs" dxfId="103" priority="2" operator="lessThan">
      <formula>0</formula>
    </cfRule>
  </conditionalFormatting>
  <conditionalFormatting sqref="X120">
    <cfRule type="cellIs" dxfId="102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269B-B65D-4104-B758-C60DE006AF90}">
  <sheetPr codeName="Tabelle6">
    <tabColor rgb="FF00B0F0"/>
  </sheetPr>
  <dimension ref="A1:X144"/>
  <sheetViews>
    <sheetView zoomScale="35" zoomScaleNormal="54" workbookViewId="0">
      <selection activeCell="N44" sqref="N44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4" customFormat="1" ht="15" thickBot="1"/>
    <row r="2" spans="1:24" s="64" customFormat="1" ht="37.200000000000003" thickTop="1">
      <c r="B2" s="130" t="s">
        <v>15</v>
      </c>
      <c r="C2" s="131"/>
    </row>
    <row r="3" spans="1:24" s="64" customFormat="1" ht="37.200000000000003" thickBot="1">
      <c r="B3" s="132">
        <v>0</v>
      </c>
      <c r="C3" s="133"/>
      <c r="D3" s="64">
        <v>0</v>
      </c>
    </row>
    <row r="4" spans="1:24" s="64" customFormat="1" ht="15" thickTop="1"/>
    <row r="5" spans="1:24" s="64" customFormat="1"/>
    <row r="6" spans="1:24" s="65" customFormat="1" ht="15" thickBot="1">
      <c r="J6" s="65" t="s">
        <v>23</v>
      </c>
    </row>
    <row r="7" spans="1:24" ht="15" thickTop="1"/>
    <row r="9" spans="1:24" ht="15" thickBot="1"/>
    <row r="10" spans="1:24" ht="27" thickTop="1" thickBot="1">
      <c r="A10" s="109">
        <v>1</v>
      </c>
      <c r="B10" s="110"/>
      <c r="C10" s="107">
        <v>2</v>
      </c>
      <c r="D10" s="108"/>
      <c r="E10" s="101">
        <v>3</v>
      </c>
      <c r="F10" s="101"/>
      <c r="G10" s="107">
        <v>4</v>
      </c>
      <c r="H10" s="108"/>
      <c r="I10" s="101">
        <v>5</v>
      </c>
      <c r="J10" s="101"/>
      <c r="K10" s="107">
        <v>6</v>
      </c>
      <c r="L10" s="108"/>
      <c r="M10" s="101">
        <v>7</v>
      </c>
      <c r="N10" s="101"/>
      <c r="O10" s="107">
        <v>8</v>
      </c>
      <c r="P10" s="108"/>
      <c r="Q10" s="101">
        <v>9</v>
      </c>
      <c r="R10" s="101"/>
      <c r="S10" s="107">
        <v>10</v>
      </c>
      <c r="T10" s="108"/>
      <c r="U10" s="101">
        <v>11</v>
      </c>
      <c r="V10" s="101"/>
      <c r="W10" s="101">
        <v>12</v>
      </c>
      <c r="X10" s="102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G10:H10"/>
    <mergeCell ref="B2:C2"/>
    <mergeCell ref="B3:C3"/>
    <mergeCell ref="A10:B10"/>
    <mergeCell ref="C10:D10"/>
    <mergeCell ref="E10:F10"/>
    <mergeCell ref="U10:V10"/>
    <mergeCell ref="W10:X10"/>
    <mergeCell ref="I10:J10"/>
    <mergeCell ref="K10:L10"/>
    <mergeCell ref="M10:N10"/>
    <mergeCell ref="O10:P10"/>
    <mergeCell ref="Q10:R10"/>
    <mergeCell ref="S10:T10"/>
  </mergeCells>
  <conditionalFormatting sqref="B2:B3">
    <cfRule type="cellIs" dxfId="101" priority="87" operator="lessThan">
      <formula>0</formula>
    </cfRule>
    <cfRule type="cellIs" dxfId="100" priority="88" operator="lessThan">
      <formula>0</formula>
    </cfRule>
  </conditionalFormatting>
  <conditionalFormatting sqref="B2:B3">
    <cfRule type="cellIs" dxfId="99" priority="86" operator="lessThan">
      <formula>0</formula>
    </cfRule>
  </conditionalFormatting>
  <conditionalFormatting sqref="B3">
    <cfRule type="cellIs" dxfId="98" priority="85" operator="greaterThan">
      <formula>0</formula>
    </cfRule>
  </conditionalFormatting>
  <conditionalFormatting sqref="B12:B119 D12:D119 F12:F119 H12:H119 J12:J119 L12:L119">
    <cfRule type="cellIs" dxfId="97" priority="43" operator="greaterThan">
      <formula>0</formula>
    </cfRule>
    <cfRule type="cellIs" dxfId="96" priority="44" operator="lessThan">
      <formula>0</formula>
    </cfRule>
  </conditionalFormatting>
  <conditionalFormatting sqref="B12:B119 D12:D119 F12:F119 H12:H119 J12:J119 L12:L119">
    <cfRule type="cellIs" dxfId="95" priority="42" operator="equal">
      <formula>0</formula>
    </cfRule>
  </conditionalFormatting>
  <conditionalFormatting sqref="F132:J144 K134:L144 K132:K133 A10:L131">
    <cfRule type="cellIs" dxfId="94" priority="40" operator="lessThan">
      <formula>0</formula>
    </cfRule>
    <cfRule type="cellIs" dxfId="93" priority="41" operator="lessThan">
      <formula>0</formula>
    </cfRule>
  </conditionalFormatting>
  <conditionalFormatting sqref="F132:J144 K134:L144 K132:K133 A10:L131">
    <cfRule type="cellIs" dxfId="92" priority="39" operator="lessThan">
      <formula>0</formula>
    </cfRule>
  </conditionalFormatting>
  <conditionalFormatting sqref="B12:B121 G133:J144 D12:D121 F12:F121 H12:H121 L12:L121 J12:J121">
    <cfRule type="cellIs" dxfId="91" priority="38" operator="greaterThan">
      <formula>0</formula>
    </cfRule>
  </conditionalFormatting>
  <conditionalFormatting sqref="N120">
    <cfRule type="cellIs" dxfId="90" priority="35" operator="greaterThan">
      <formula>0</formula>
    </cfRule>
    <cfRule type="cellIs" dxfId="89" priority="36" operator="greaterThan">
      <formula>1287.38</formula>
    </cfRule>
    <cfRule type="cellIs" dxfId="88" priority="37" operator="lessThan">
      <formula>0</formula>
    </cfRule>
  </conditionalFormatting>
  <conditionalFormatting sqref="P12:P119 R12:R119 T12:T119 V12:V119 X12:X119 N12:N119">
    <cfRule type="cellIs" dxfId="87" priority="33" operator="equal">
      <formula>0</formula>
    </cfRule>
    <cfRule type="cellIs" dxfId="86" priority="34" operator="greaterThan">
      <formula>0</formula>
    </cfRule>
  </conditionalFormatting>
  <conditionalFormatting sqref="M17:M21">
    <cfRule type="cellIs" dxfId="85" priority="32" operator="lessThan">
      <formula>0</formula>
    </cfRule>
  </conditionalFormatting>
  <conditionalFormatting sqref="M10:X121">
    <cfRule type="cellIs" dxfId="84" priority="30" operator="lessThan">
      <formula>0</formula>
    </cfRule>
    <cfRule type="cellIs" dxfId="83" priority="31" operator="lessThan">
      <formula>0</formula>
    </cfRule>
  </conditionalFormatting>
  <conditionalFormatting sqref="M10:X121">
    <cfRule type="cellIs" dxfId="82" priority="29" operator="lessThan">
      <formula>0</formula>
    </cfRule>
  </conditionalFormatting>
  <conditionalFormatting sqref="P12:P121 R12:R121 T12:T121 V12:V121 X12:X121 N12:N121">
    <cfRule type="cellIs" dxfId="81" priority="28" operator="greaterThan">
      <formula>0</formula>
    </cfRule>
  </conditionalFormatting>
  <conditionalFormatting sqref="G133:J144">
    <cfRule type="cellIs" dxfId="80" priority="27" operator="equal">
      <formula>0</formula>
    </cfRule>
  </conditionalFormatting>
  <conditionalFormatting sqref="B120 D120 F120 H120 L120 N120 P120 R120 T120 V120 X120">
    <cfRule type="cellIs" dxfId="79" priority="26" operator="equal">
      <formula>0</formula>
    </cfRule>
  </conditionalFormatting>
  <conditionalFormatting sqref="J120">
    <cfRule type="cellIs" dxfId="78" priority="25" operator="equal">
      <formula>0</formula>
    </cfRule>
  </conditionalFormatting>
  <conditionalFormatting sqref="N120">
    <cfRule type="cellIs" dxfId="77" priority="23" operator="lessThan">
      <formula>0</formula>
    </cfRule>
    <cfRule type="cellIs" dxfId="76" priority="24" operator="lessThan">
      <formula>0</formula>
    </cfRule>
  </conditionalFormatting>
  <conditionalFormatting sqref="N120">
    <cfRule type="cellIs" dxfId="75" priority="22" operator="lessThan">
      <formula>0</formula>
    </cfRule>
  </conditionalFormatting>
  <conditionalFormatting sqref="N120">
    <cfRule type="cellIs" dxfId="74" priority="21" operator="greaterThan">
      <formula>0</formula>
    </cfRule>
  </conditionalFormatting>
  <conditionalFormatting sqref="P120">
    <cfRule type="cellIs" dxfId="73" priority="19" operator="lessThan">
      <formula>0</formula>
    </cfRule>
    <cfRule type="cellIs" dxfId="72" priority="20" operator="lessThan">
      <formula>0</formula>
    </cfRule>
  </conditionalFormatting>
  <conditionalFormatting sqref="P120">
    <cfRule type="cellIs" dxfId="71" priority="18" operator="lessThan">
      <formula>0</formula>
    </cfRule>
  </conditionalFormatting>
  <conditionalFormatting sqref="P120">
    <cfRule type="cellIs" dxfId="70" priority="17" operator="greaterThan">
      <formula>0</formula>
    </cfRule>
  </conditionalFormatting>
  <conditionalFormatting sqref="R120">
    <cfRule type="cellIs" dxfId="69" priority="15" operator="lessThan">
      <formula>0</formula>
    </cfRule>
    <cfRule type="cellIs" dxfId="68" priority="16" operator="lessThan">
      <formula>0</formula>
    </cfRule>
  </conditionalFormatting>
  <conditionalFormatting sqref="R120">
    <cfRule type="cellIs" dxfId="67" priority="14" operator="lessThan">
      <formula>0</formula>
    </cfRule>
  </conditionalFormatting>
  <conditionalFormatting sqref="R120">
    <cfRule type="cellIs" dxfId="66" priority="13" operator="greaterThan">
      <formula>0</formula>
    </cfRule>
  </conditionalFormatting>
  <conditionalFormatting sqref="T120">
    <cfRule type="cellIs" dxfId="65" priority="11" operator="lessThan">
      <formula>0</formula>
    </cfRule>
    <cfRule type="cellIs" dxfId="64" priority="12" operator="lessThan">
      <formula>0</formula>
    </cfRule>
  </conditionalFormatting>
  <conditionalFormatting sqref="T120">
    <cfRule type="cellIs" dxfId="63" priority="10" operator="lessThan">
      <formula>0</formula>
    </cfRule>
  </conditionalFormatting>
  <conditionalFormatting sqref="T120">
    <cfRule type="cellIs" dxfId="62" priority="9" operator="greaterThan">
      <formula>0</formula>
    </cfRule>
  </conditionalFormatting>
  <conditionalFormatting sqref="V120">
    <cfRule type="cellIs" dxfId="61" priority="7" operator="lessThan">
      <formula>0</formula>
    </cfRule>
    <cfRule type="cellIs" dxfId="60" priority="8" operator="lessThan">
      <formula>0</formula>
    </cfRule>
  </conditionalFormatting>
  <conditionalFormatting sqref="V120">
    <cfRule type="cellIs" dxfId="59" priority="6" operator="lessThan">
      <formula>0</formula>
    </cfRule>
  </conditionalFormatting>
  <conditionalFormatting sqref="V120">
    <cfRule type="cellIs" dxfId="58" priority="5" operator="greaterThan">
      <formula>0</formula>
    </cfRule>
  </conditionalFormatting>
  <conditionalFormatting sqref="X120">
    <cfRule type="cellIs" dxfId="57" priority="3" operator="lessThan">
      <formula>0</formula>
    </cfRule>
    <cfRule type="cellIs" dxfId="56" priority="4" operator="lessThan">
      <formula>0</formula>
    </cfRule>
  </conditionalFormatting>
  <conditionalFormatting sqref="X120">
    <cfRule type="cellIs" dxfId="55" priority="2" operator="lessThan">
      <formula>0</formula>
    </cfRule>
  </conditionalFormatting>
  <conditionalFormatting sqref="X120">
    <cfRule type="cellIs" dxfId="54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2BDF6-3D15-4984-A768-EE54CCB0D184}">
  <sheetPr codeName="Tabelle5">
    <tabColor theme="4" tint="-0.249977111117893"/>
  </sheetPr>
  <dimension ref="A1:X144"/>
  <sheetViews>
    <sheetView topLeftCell="A33" zoomScale="41" zoomScaleNormal="54" workbookViewId="0">
      <selection activeCell="H97" sqref="H97"/>
    </sheetView>
  </sheetViews>
  <sheetFormatPr baseColWidth="10" defaultRowHeight="14.4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51" customFormat="1" ht="15" thickBot="1"/>
    <row r="2" spans="1:24" s="51" customFormat="1" ht="37.200000000000003" thickTop="1">
      <c r="B2" s="134" t="s">
        <v>15</v>
      </c>
      <c r="C2" s="135"/>
    </row>
    <row r="3" spans="1:24" s="51" customFormat="1" ht="37.200000000000003" thickBot="1">
      <c r="B3" s="136">
        <v>0</v>
      </c>
      <c r="C3" s="137"/>
      <c r="D3" s="51">
        <v>0</v>
      </c>
    </row>
    <row r="4" spans="1:24" s="51" customFormat="1" ht="15" thickTop="1"/>
    <row r="5" spans="1:24" s="51" customFormat="1"/>
    <row r="6" spans="1:24" s="63" customFormat="1" ht="15" thickBot="1">
      <c r="J6" s="63" t="s">
        <v>23</v>
      </c>
    </row>
    <row r="7" spans="1:24" ht="15" thickTop="1"/>
    <row r="9" spans="1:24" ht="15" thickBot="1"/>
    <row r="10" spans="1:24" ht="27" thickTop="1" thickBot="1">
      <c r="A10" s="109">
        <v>1</v>
      </c>
      <c r="B10" s="110"/>
      <c r="C10" s="107">
        <v>2</v>
      </c>
      <c r="D10" s="108"/>
      <c r="E10" s="101">
        <v>3</v>
      </c>
      <c r="F10" s="101"/>
      <c r="G10" s="107">
        <v>4</v>
      </c>
      <c r="H10" s="108"/>
      <c r="I10" s="101">
        <v>5</v>
      </c>
      <c r="J10" s="101"/>
      <c r="K10" s="107">
        <v>6</v>
      </c>
      <c r="L10" s="108"/>
      <c r="M10" s="101">
        <v>7</v>
      </c>
      <c r="N10" s="101"/>
      <c r="O10" s="107">
        <v>8</v>
      </c>
      <c r="P10" s="108"/>
      <c r="Q10" s="101">
        <v>9</v>
      </c>
      <c r="R10" s="101"/>
      <c r="S10" s="107">
        <v>10</v>
      </c>
      <c r="T10" s="108"/>
      <c r="U10" s="101">
        <v>11</v>
      </c>
      <c r="V10" s="101"/>
      <c r="W10" s="101">
        <v>12</v>
      </c>
      <c r="X10" s="102"/>
    </row>
    <row r="11" spans="1:24" ht="16.8" thickTop="1" thickBot="1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/>
    <row r="128" spans="1:24" ht="15.6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G10:H10"/>
    <mergeCell ref="B2:C2"/>
    <mergeCell ref="B3:C3"/>
    <mergeCell ref="A10:B10"/>
    <mergeCell ref="C10:D10"/>
    <mergeCell ref="E10:F10"/>
    <mergeCell ref="U10:V10"/>
    <mergeCell ref="W10:X10"/>
    <mergeCell ref="I10:J10"/>
    <mergeCell ref="K10:L10"/>
    <mergeCell ref="M10:N10"/>
    <mergeCell ref="O10:P10"/>
    <mergeCell ref="Q10:R10"/>
    <mergeCell ref="S10:T10"/>
  </mergeCells>
  <conditionalFormatting sqref="B2:B3">
    <cfRule type="cellIs" dxfId="53" priority="82" operator="lessThan">
      <formula>0</formula>
    </cfRule>
    <cfRule type="cellIs" dxfId="52" priority="83" operator="lessThan">
      <formula>0</formula>
    </cfRule>
  </conditionalFormatting>
  <conditionalFormatting sqref="B2:B3">
    <cfRule type="cellIs" dxfId="51" priority="81" operator="lessThan">
      <formula>0</formula>
    </cfRule>
  </conditionalFormatting>
  <conditionalFormatting sqref="B3">
    <cfRule type="cellIs" dxfId="50" priority="80" operator="greaterThan">
      <formula>0</formula>
    </cfRule>
  </conditionalFormatting>
  <conditionalFormatting sqref="B12:B119 D12:D119 F12:F119 H12:H119 J12:J119 L12:L119">
    <cfRule type="cellIs" dxfId="49" priority="43" operator="greaterThan">
      <formula>0</formula>
    </cfRule>
    <cfRule type="cellIs" dxfId="48" priority="44" operator="lessThan">
      <formula>0</formula>
    </cfRule>
  </conditionalFormatting>
  <conditionalFormatting sqref="B12:B119 D12:D119 F12:F119 H12:H119 J12:J119 L12:L119">
    <cfRule type="cellIs" dxfId="47" priority="42" operator="equal">
      <formula>0</formula>
    </cfRule>
  </conditionalFormatting>
  <conditionalFormatting sqref="F132:J144 K134:L144 K132:K133 A10:L131">
    <cfRule type="cellIs" dxfId="46" priority="40" operator="lessThan">
      <formula>0</formula>
    </cfRule>
    <cfRule type="cellIs" dxfId="45" priority="41" operator="lessThan">
      <formula>0</formula>
    </cfRule>
  </conditionalFormatting>
  <conditionalFormatting sqref="F132:J144 K134:L144 K132:K133 A10:L131">
    <cfRule type="cellIs" dxfId="44" priority="39" operator="lessThan">
      <formula>0</formula>
    </cfRule>
  </conditionalFormatting>
  <conditionalFormatting sqref="B12:B121 G133:J144 D12:D121 F12:F121 H12:H121 L12:L121 J12:J121">
    <cfRule type="cellIs" dxfId="43" priority="38" operator="greaterThan">
      <formula>0</formula>
    </cfRule>
  </conditionalFormatting>
  <conditionalFormatting sqref="N120">
    <cfRule type="cellIs" dxfId="42" priority="35" operator="greaterThan">
      <formula>0</formula>
    </cfRule>
    <cfRule type="cellIs" dxfId="41" priority="36" operator="greaterThan">
      <formula>1287.38</formula>
    </cfRule>
    <cfRule type="cellIs" dxfId="40" priority="37" operator="lessThan">
      <formula>0</formula>
    </cfRule>
  </conditionalFormatting>
  <conditionalFormatting sqref="P12:P119 R12:R119 T12:T119 V12:V119 X12:X119 N12:N119">
    <cfRule type="cellIs" dxfId="39" priority="33" operator="equal">
      <formula>0</formula>
    </cfRule>
    <cfRule type="cellIs" dxfId="38" priority="34" operator="greaterThan">
      <formula>0</formula>
    </cfRule>
  </conditionalFormatting>
  <conditionalFormatting sqref="M17:M21">
    <cfRule type="cellIs" dxfId="37" priority="32" operator="lessThan">
      <formula>0</formula>
    </cfRule>
  </conditionalFormatting>
  <conditionalFormatting sqref="M10:X121">
    <cfRule type="cellIs" dxfId="36" priority="30" operator="lessThan">
      <formula>0</formula>
    </cfRule>
    <cfRule type="cellIs" dxfId="35" priority="31" operator="lessThan">
      <formula>0</formula>
    </cfRule>
  </conditionalFormatting>
  <conditionalFormatting sqref="M10:X121">
    <cfRule type="cellIs" dxfId="34" priority="29" operator="lessThan">
      <formula>0</formula>
    </cfRule>
  </conditionalFormatting>
  <conditionalFormatting sqref="P12:P121 R12:R121 T12:T121 V12:V121 X12:X121 N12:N121">
    <cfRule type="cellIs" dxfId="33" priority="28" operator="greaterThan">
      <formula>0</formula>
    </cfRule>
  </conditionalFormatting>
  <conditionalFormatting sqref="G133:J144">
    <cfRule type="cellIs" dxfId="32" priority="27" operator="equal">
      <formula>0</formula>
    </cfRule>
  </conditionalFormatting>
  <conditionalFormatting sqref="B120 D120 F120 H120 L120 N120 P120 R120 T120 V120 X120">
    <cfRule type="cellIs" dxfId="31" priority="26" operator="equal">
      <formula>0</formula>
    </cfRule>
  </conditionalFormatting>
  <conditionalFormatting sqref="J120">
    <cfRule type="cellIs" dxfId="30" priority="25" operator="equal">
      <formula>0</formula>
    </cfRule>
  </conditionalFormatting>
  <conditionalFormatting sqref="N120">
    <cfRule type="cellIs" dxfId="29" priority="23" operator="lessThan">
      <formula>0</formula>
    </cfRule>
    <cfRule type="cellIs" dxfId="28" priority="24" operator="lessThan">
      <formula>0</formula>
    </cfRule>
  </conditionalFormatting>
  <conditionalFormatting sqref="N120">
    <cfRule type="cellIs" dxfId="27" priority="22" operator="lessThan">
      <formula>0</formula>
    </cfRule>
  </conditionalFormatting>
  <conditionalFormatting sqref="N120">
    <cfRule type="cellIs" dxfId="26" priority="21" operator="greaterThan">
      <formula>0</formula>
    </cfRule>
  </conditionalFormatting>
  <conditionalFormatting sqref="P120">
    <cfRule type="cellIs" dxfId="25" priority="19" operator="lessThan">
      <formula>0</formula>
    </cfRule>
    <cfRule type="cellIs" dxfId="24" priority="20" operator="lessThan">
      <formula>0</formula>
    </cfRule>
  </conditionalFormatting>
  <conditionalFormatting sqref="P120">
    <cfRule type="cellIs" dxfId="23" priority="18" operator="lessThan">
      <formula>0</formula>
    </cfRule>
  </conditionalFormatting>
  <conditionalFormatting sqref="P120">
    <cfRule type="cellIs" dxfId="22" priority="17" operator="greaterThan">
      <formula>0</formula>
    </cfRule>
  </conditionalFormatting>
  <conditionalFormatting sqref="R120">
    <cfRule type="cellIs" dxfId="21" priority="15" operator="lessThan">
      <formula>0</formula>
    </cfRule>
    <cfRule type="cellIs" dxfId="20" priority="16" operator="lessThan">
      <formula>0</formula>
    </cfRule>
  </conditionalFormatting>
  <conditionalFormatting sqref="R120">
    <cfRule type="cellIs" dxfId="19" priority="14" operator="lessThan">
      <formula>0</formula>
    </cfRule>
  </conditionalFormatting>
  <conditionalFormatting sqref="R120">
    <cfRule type="cellIs" dxfId="18" priority="13" operator="greaterThan">
      <formula>0</formula>
    </cfRule>
  </conditionalFormatting>
  <conditionalFormatting sqref="T120">
    <cfRule type="cellIs" dxfId="17" priority="11" operator="lessThan">
      <formula>0</formula>
    </cfRule>
    <cfRule type="cellIs" dxfId="16" priority="12" operator="lessThan">
      <formula>0</formula>
    </cfRule>
  </conditionalFormatting>
  <conditionalFormatting sqref="T120">
    <cfRule type="cellIs" dxfId="15" priority="10" operator="lessThan">
      <formula>0</formula>
    </cfRule>
  </conditionalFormatting>
  <conditionalFormatting sqref="T120">
    <cfRule type="cellIs" dxfId="14" priority="9" operator="greaterThan">
      <formula>0</formula>
    </cfRule>
  </conditionalFormatting>
  <conditionalFormatting sqref="V120">
    <cfRule type="cellIs" dxfId="13" priority="7" operator="lessThan">
      <formula>0</formula>
    </cfRule>
    <cfRule type="cellIs" dxfId="12" priority="8" operator="lessThan">
      <formula>0</formula>
    </cfRule>
  </conditionalFormatting>
  <conditionalFormatting sqref="V120">
    <cfRule type="cellIs" dxfId="11" priority="6" operator="lessThan">
      <formula>0</formula>
    </cfRule>
  </conditionalFormatting>
  <conditionalFormatting sqref="V120">
    <cfRule type="cellIs" dxfId="10" priority="5" operator="greaterThan">
      <formula>0</formula>
    </cfRule>
  </conditionalFormatting>
  <conditionalFormatting sqref="X120">
    <cfRule type="cellIs" dxfId="9" priority="3" operator="lessThan">
      <formula>0</formula>
    </cfRule>
    <cfRule type="cellIs" dxfId="8" priority="4" operator="lessThan">
      <formula>0</formula>
    </cfRule>
  </conditionalFormatting>
  <conditionalFormatting sqref="X120">
    <cfRule type="cellIs" dxfId="7" priority="2" operator="lessThan">
      <formula>0</formula>
    </cfRule>
  </conditionalFormatting>
  <conditionalFormatting sqref="X120">
    <cfRule type="cellIs" dxfId="6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RAIKA_GIRO</vt:lpstr>
      <vt:lpstr>ING_GIRO</vt:lpstr>
      <vt:lpstr>ING_SPAREN</vt:lpstr>
      <vt:lpstr>DKB_GIRO</vt:lpstr>
      <vt:lpstr>DKB_VISA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Grubmüller</dc:creator>
  <cp:lastModifiedBy>Stefan Grubmüller</cp:lastModifiedBy>
  <dcterms:created xsi:type="dcterms:W3CDTF">2020-06-30T17:38:15Z</dcterms:created>
  <dcterms:modified xsi:type="dcterms:W3CDTF">2020-08-30T21:54:24Z</dcterms:modified>
</cp:coreProperties>
</file>